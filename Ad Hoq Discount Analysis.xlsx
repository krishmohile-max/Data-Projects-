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Data Project\"/>
    </mc:Choice>
  </mc:AlternateContent>
  <xr:revisionPtr revIDLastSave="0" documentId="8_{86C8F0CE-AAA1-438E-B8B1-4BD47538F851}" xr6:coauthVersionLast="47" xr6:coauthVersionMax="47" xr10:uidLastSave="{00000000-0000-0000-0000-000000000000}"/>
  <bookViews>
    <workbookView xWindow="-120" yWindow="-120" windowWidth="20730" windowHeight="11160" xr2:uid="{23F5B930-F9DF-43E6-917D-EA7456D3C7CD}"/>
  </bookViews>
  <sheets>
    <sheet name="Discount Impact" sheetId="2" r:id="rId1"/>
    <sheet name="Discount Impact on company leve" sheetId="4" r:id="rId2"/>
    <sheet name="Dashboard" sheetId="1" r:id="rId3"/>
  </sheets>
  <definedNames>
    <definedName name="_xlchart.v1.0" hidden="1">'Discount Impact'!$K$2:$K$4</definedName>
    <definedName name="_xlchart.v1.1" hidden="1">'Discount Impact'!$L$1</definedName>
    <definedName name="_xlchart.v1.10" hidden="1">'Discount Impact'!$L$1</definedName>
    <definedName name="_xlchart.v1.11" hidden="1">'Discount Impact'!$L$2:$L$4</definedName>
    <definedName name="_xlchart.v1.12" hidden="1">'Discount Impact on company leve'!$B$2:$C$85</definedName>
    <definedName name="_xlchart.v1.13" hidden="1">'Discount Impact on company leve'!$F$1</definedName>
    <definedName name="_xlchart.v1.14" hidden="1">'Discount Impact on company leve'!$F$2:$F$85</definedName>
    <definedName name="_xlchart.v1.2" hidden="1">'Discount Impact'!$L$2:$L$4</definedName>
    <definedName name="_xlchart.v1.3" hidden="1">'Discount Impact'!$K$2:$K$4</definedName>
    <definedName name="_xlchart.v1.4" hidden="1">'Discount Impact'!$L$1</definedName>
    <definedName name="_xlchart.v1.5" hidden="1">'Discount Impact'!$L$2:$L$4</definedName>
    <definedName name="_xlchart.v1.6" hidden="1">'Discount Impact'!$K$2:$K$4</definedName>
    <definedName name="_xlchart.v1.7" hidden="1">'Discount Impact'!$L$1</definedName>
    <definedName name="_xlchart.v1.8" hidden="1">'Discount Impact'!$L$2:$L$4</definedName>
    <definedName name="_xlchart.v1.9" hidden="1">'Discount Impact'!$K$2:$K$4</definedName>
    <definedName name="ExternalData_1" localSheetId="0" hidden="1">'Discount Impact'!$A$1:$G$485</definedName>
    <definedName name="ExternalData_1" localSheetId="1" hidden="1">'Discount Impact on company leve'!$A$1:$I$85</definedName>
  </definedNames>
  <calcPr calcId="191029"/>
  <pivotCaches>
    <pivotCache cacheId="4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  <c r="L3" i="2"/>
  <c r="L2" i="2"/>
  <c r="L5" i="2" s="1"/>
  <c r="J2" i="4" a="1"/>
  <c r="J2" i="4" s="1"/>
  <c r="J3" i="4" a="1"/>
  <c r="J3" i="4" s="1"/>
  <c r="J4" i="4" a="1"/>
  <c r="J4" i="4" s="1"/>
  <c r="J5" i="4" a="1"/>
  <c r="J5" i="4" s="1"/>
  <c r="J6" i="4" a="1"/>
  <c r="J6" i="4" s="1"/>
  <c r="J7" i="4" a="1"/>
  <c r="J7" i="4" s="1"/>
  <c r="J8" i="4" a="1"/>
  <c r="J8" i="4" s="1"/>
  <c r="J9" i="4" a="1"/>
  <c r="J9" i="4" s="1"/>
  <c r="J10" i="4" a="1"/>
  <c r="J10" i="4" s="1"/>
  <c r="J11" i="4" a="1"/>
  <c r="J11" i="4" s="1"/>
  <c r="J12" i="4" a="1"/>
  <c r="J12" i="4" s="1"/>
  <c r="J13" i="4" a="1"/>
  <c r="J13" i="4" s="1"/>
  <c r="J14" i="4" a="1"/>
  <c r="J14" i="4" s="1"/>
  <c r="J15" i="4" a="1"/>
  <c r="J15" i="4" s="1"/>
  <c r="J16" i="4" a="1"/>
  <c r="J16" i="4" s="1"/>
  <c r="J17" i="4" a="1"/>
  <c r="J17" i="4" s="1"/>
  <c r="J18" i="4" a="1"/>
  <c r="J18" i="4" s="1"/>
  <c r="J19" i="4" a="1"/>
  <c r="J19" i="4" s="1"/>
  <c r="J20" i="4" a="1"/>
  <c r="J20" i="4" s="1"/>
  <c r="J21" i="4" a="1"/>
  <c r="J21" i="4" s="1"/>
  <c r="J22" i="4" a="1"/>
  <c r="J22" i="4" s="1"/>
  <c r="J23" i="4" a="1"/>
  <c r="J23" i="4" s="1"/>
  <c r="J24" i="4" a="1"/>
  <c r="J24" i="4" s="1"/>
  <c r="J25" i="4" a="1"/>
  <c r="J25" i="4" s="1"/>
  <c r="J26" i="4" a="1"/>
  <c r="J26" i="4" s="1"/>
  <c r="J27" i="4" a="1"/>
  <c r="J27" i="4" s="1"/>
  <c r="J28" i="4" a="1"/>
  <c r="J28" i="4" s="1"/>
  <c r="J29" i="4" a="1"/>
  <c r="J29" i="4" s="1"/>
  <c r="J30" i="4" a="1"/>
  <c r="J30" i="4" s="1"/>
  <c r="J31" i="4" a="1"/>
  <c r="J31" i="4" s="1"/>
  <c r="J32" i="4" a="1"/>
  <c r="J32" i="4" s="1"/>
  <c r="J33" i="4" a="1"/>
  <c r="J33" i="4" s="1"/>
  <c r="J34" i="4" a="1"/>
  <c r="J34" i="4" s="1"/>
  <c r="J35" i="4" a="1"/>
  <c r="J35" i="4" s="1"/>
  <c r="J36" i="4" a="1"/>
  <c r="J36" i="4" s="1"/>
  <c r="J37" i="4" a="1"/>
  <c r="J37" i="4" s="1"/>
  <c r="J38" i="4" a="1"/>
  <c r="J38" i="4" s="1"/>
  <c r="J39" i="4" a="1"/>
  <c r="J39" i="4" s="1"/>
  <c r="J40" i="4" a="1"/>
  <c r="J40" i="4" s="1"/>
  <c r="J41" i="4" a="1"/>
  <c r="J41" i="4" s="1"/>
  <c r="J42" i="4" a="1"/>
  <c r="J42" i="4" s="1"/>
  <c r="J43" i="4" a="1"/>
  <c r="J43" i="4" s="1"/>
  <c r="J44" i="4" a="1"/>
  <c r="J44" i="4" s="1"/>
  <c r="J45" i="4" a="1"/>
  <c r="J45" i="4" s="1"/>
  <c r="J46" i="4" a="1"/>
  <c r="J46" i="4" s="1"/>
  <c r="J47" i="4" a="1"/>
  <c r="J47" i="4" s="1"/>
  <c r="J48" i="4" a="1"/>
  <c r="J48" i="4" s="1"/>
  <c r="J49" i="4" a="1"/>
  <c r="J49" i="4" s="1"/>
  <c r="J50" i="4" a="1"/>
  <c r="J50" i="4" s="1"/>
  <c r="J51" i="4" a="1"/>
  <c r="J51" i="4" s="1"/>
  <c r="J52" i="4" a="1"/>
  <c r="J52" i="4" s="1"/>
  <c r="J53" i="4" a="1"/>
  <c r="J53" i="4" s="1"/>
  <c r="J54" i="4" a="1"/>
  <c r="J54" i="4" s="1"/>
  <c r="J55" i="4" a="1"/>
  <c r="J55" i="4" s="1"/>
  <c r="J56" i="4" a="1"/>
  <c r="J56" i="4" s="1"/>
  <c r="J57" i="4" a="1"/>
  <c r="J57" i="4" s="1"/>
  <c r="J58" i="4" a="1"/>
  <c r="J58" i="4" s="1"/>
  <c r="J59" i="4" a="1"/>
  <c r="J59" i="4" s="1"/>
  <c r="J60" i="4" a="1"/>
  <c r="J60" i="4" s="1"/>
  <c r="J61" i="4" a="1"/>
  <c r="J61" i="4" s="1"/>
  <c r="J62" i="4" a="1"/>
  <c r="J62" i="4" s="1"/>
  <c r="J63" i="4" a="1"/>
  <c r="J63" i="4" s="1"/>
  <c r="J64" i="4" a="1"/>
  <c r="J64" i="4" s="1"/>
  <c r="J65" i="4" a="1"/>
  <c r="J65" i="4" s="1"/>
  <c r="J66" i="4" a="1"/>
  <c r="J66" i="4" s="1"/>
  <c r="J67" i="4" a="1"/>
  <c r="J67" i="4" s="1"/>
  <c r="J68" i="4" a="1"/>
  <c r="J68" i="4" s="1"/>
  <c r="J69" i="4" a="1"/>
  <c r="J69" i="4" s="1"/>
  <c r="J70" i="4" a="1"/>
  <c r="J70" i="4" s="1"/>
  <c r="J71" i="4" a="1"/>
  <c r="J71" i="4" s="1"/>
  <c r="J72" i="4" a="1"/>
  <c r="J72" i="4" s="1"/>
  <c r="J73" i="4" a="1"/>
  <c r="J73" i="4" s="1"/>
  <c r="J74" i="4" a="1"/>
  <c r="J74" i="4" s="1"/>
  <c r="J75" i="4" a="1"/>
  <c r="J75" i="4" s="1"/>
  <c r="J76" i="4" a="1"/>
  <c r="J76" i="4" s="1"/>
  <c r="J77" i="4" a="1"/>
  <c r="J77" i="4" s="1"/>
  <c r="J78" i="4" a="1"/>
  <c r="J78" i="4" s="1"/>
  <c r="J79" i="4" a="1"/>
  <c r="J79" i="4" s="1"/>
  <c r="J80" i="4" a="1"/>
  <c r="J80" i="4" s="1"/>
  <c r="J81" i="4" a="1"/>
  <c r="J81" i="4" s="1"/>
  <c r="J82" i="4" a="1"/>
  <c r="J82" i="4" s="1"/>
  <c r="J83" i="4" a="1"/>
  <c r="J83" i="4" s="1"/>
  <c r="J84" i="4" a="1"/>
  <c r="J84" i="4" s="1"/>
  <c r="J85" i="4" a="1"/>
  <c r="J85" i="4" s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E33DA1-3945-4ECF-8491-980D61A4B610}" keepAlive="1" name="Query - Discount Impact" description="Connection to the 'Discount Impact' query in the workbook." type="5" refreshedVersion="7" background="1" saveData="1">
    <dbPr connection="Provider=Microsoft.Mashup.OleDb.1;Data Source=$Workbook$;Location=&quot;Discount Impact&quot;;Extended Properties=&quot;&quot;" command="SELECT * FROM [Discount Impact]"/>
  </connection>
  <connection id="2" xr16:uid="{EC18CB6B-5666-4156-A5F3-9DF115942B1B}" keepAlive="1" name="Query - Discount Impact on company level" description="Connection to the 'Discount Impact on company level' query in the workbook." type="5" refreshedVersion="0" background="1">
    <dbPr connection="Provider=Microsoft.Mashup.OleDb.1;Data Source=$Workbook$;Location=&quot;Discount Impact on company level&quot;;Extended Properties=&quot;&quot;" command="SELECT * FROM [Discount Impact on company level]"/>
  </connection>
  <connection id="3" xr16:uid="{BCF22F19-9A03-4DDB-9663-6F271293691B}" keepAlive="1" name="Query - Discount Impact on company level (2)" description="Connection to the 'Discount Impact on company level (2)' query in the workbook." type="5" refreshedVersion="7" background="1" saveData="1">
    <dbPr connection="Provider=Microsoft.Mashup.OleDb.1;Data Source=$Workbook$;Location=&quot;Discount Impact on company level (2)&quot;;Extended Properties=&quot;&quot;" command="SELECT * FROM [Discount Impact on company level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<sst xmlns="http://schemas.openxmlformats.org/spreadsheetml/2006/main" count="3234" uniqueCount="417">
  <si>
    <t>category</t>
  </si>
  <si>
    <t>subcategory</t>
  </si>
  <si>
    <t>Profit</t>
  </si>
  <si>
    <t>Mountain-200 Black, 42</t>
  </si>
  <si>
    <t>Bikes</t>
  </si>
  <si>
    <t>Mountain Bikes</t>
  </si>
  <si>
    <t>NULL</t>
  </si>
  <si>
    <t>No Cost Borne</t>
  </si>
  <si>
    <t>NO contribution</t>
  </si>
  <si>
    <t>Mountain-200 Black, 38</t>
  </si>
  <si>
    <t>Mountain-200 Black, 46</t>
  </si>
  <si>
    <t>Mountain-200 Silver, 38</t>
  </si>
  <si>
    <t>Mountain-200 Silver, 46</t>
  </si>
  <si>
    <t>Mountain-200 Silver, 42</t>
  </si>
  <si>
    <t>Road-150 Red, 48</t>
  </si>
  <si>
    <t>Road Bikes</t>
  </si>
  <si>
    <t>Road-150 Red, 62</t>
  </si>
  <si>
    <t>Road-150 Red, 52</t>
  </si>
  <si>
    <t>Road-150 Red, 56</t>
  </si>
  <si>
    <t>Road-150 Red, 44</t>
  </si>
  <si>
    <t>Mountain-100 Black, 44</t>
  </si>
  <si>
    <t>Mountain-100 Silver, 38</t>
  </si>
  <si>
    <t>Mountain-100 Black, 48</t>
  </si>
  <si>
    <t>Mountain-100 Black, 38</t>
  </si>
  <si>
    <t>Touring-1000 Yellow, 54</t>
  </si>
  <si>
    <t>Touring Bikes</t>
  </si>
  <si>
    <t>Mountain-100 Silver, 44</t>
  </si>
  <si>
    <t>Mountain-100 Black, 42</t>
  </si>
  <si>
    <t>Touring-1000 Blue, 54</t>
  </si>
  <si>
    <t>Touring-1000 Yellow, 46</t>
  </si>
  <si>
    <t>Mountain-100 Silver, 42</t>
  </si>
  <si>
    <t>Touring-1000 Blue, 46</t>
  </si>
  <si>
    <t>Touring-1000 Yellow, 50</t>
  </si>
  <si>
    <t>Road-250 Red, 48</t>
  </si>
  <si>
    <t>Road-250 Red, 58</t>
  </si>
  <si>
    <t>Road-350-W Yellow, 44</t>
  </si>
  <si>
    <t>Touring-1000 Blue, 50</t>
  </si>
  <si>
    <t>Mountain-100 Silver, 48</t>
  </si>
  <si>
    <t>Road-350-W Yellow, 42</t>
  </si>
  <si>
    <t>Touring-1000 Yellow, 60</t>
  </si>
  <si>
    <t>Road-250 Red, 52</t>
  </si>
  <si>
    <t>Road-250 Red, 44</t>
  </si>
  <si>
    <t>Touring-1000 Blue, 60</t>
  </si>
  <si>
    <t>Road-250 Black, 58</t>
  </si>
  <si>
    <t>Road-350-W Yellow, 40</t>
  </si>
  <si>
    <t>Road-350-W Yellow, 48</t>
  </si>
  <si>
    <t>Road-250 Black, 52</t>
  </si>
  <si>
    <t>Hitch Rack - 4-Bike</t>
  </si>
  <si>
    <t>Accessories</t>
  </si>
  <si>
    <t>Bike Racks</t>
  </si>
  <si>
    <t>Sport-100 Helmet, Red</t>
  </si>
  <si>
    <t>Helmets</t>
  </si>
  <si>
    <t>Sport-100 Helmet, Blue</t>
  </si>
  <si>
    <t>Sport-100 Helmet, Black</t>
  </si>
  <si>
    <t>Road-750 Black, 44</t>
  </si>
  <si>
    <t>Mountain-400-W Silver, 40</t>
  </si>
  <si>
    <t>Mountain-400-W Silver, 38</t>
  </si>
  <si>
    <t>Mountain-400-W Silver, 46</t>
  </si>
  <si>
    <t>Road-750 Black, 52</t>
  </si>
  <si>
    <t>Road-550-W Yellow, 44</t>
  </si>
  <si>
    <t>Mountain-400-W Silver, 42</t>
  </si>
  <si>
    <t>Road-750 Black, 58</t>
  </si>
  <si>
    <t>Road-750 Black, 48</t>
  </si>
  <si>
    <t>Hydration Pack - 70 oz.</t>
  </si>
  <si>
    <t>Hydration Packs</t>
  </si>
  <si>
    <t>Touring-2000 Blue, 50</t>
  </si>
  <si>
    <t>Road-550-W Yellow, 42</t>
  </si>
  <si>
    <t>HL Mountain Rear Wheel</t>
  </si>
  <si>
    <t>Components</t>
  </si>
  <si>
    <t>Wheels</t>
  </si>
  <si>
    <t>HL Crankset</t>
  </si>
  <si>
    <t>Cranksets</t>
  </si>
  <si>
    <t>Mountain-300 Black, 44</t>
  </si>
  <si>
    <t>Mountain-300 Black, 40</t>
  </si>
  <si>
    <t>Women's Mountain Shorts, L</t>
  </si>
  <si>
    <t>Clothing</t>
  </si>
  <si>
    <t>Shorts</t>
  </si>
  <si>
    <t>Mountain-300 Black, 48</t>
  </si>
  <si>
    <t>Women's Mountain Shorts, S</t>
  </si>
  <si>
    <t>Classic Vest, S</t>
  </si>
  <si>
    <t>Vests</t>
  </si>
  <si>
    <t>Touring-2000 Blue, 46</t>
  </si>
  <si>
    <t>Mountain-300 Black, 38</t>
  </si>
  <si>
    <t>HL Mountain Tire</t>
  </si>
  <si>
    <t>Tires and Tubes</t>
  </si>
  <si>
    <t>HL Mountain Frame - Silver, 38</t>
  </si>
  <si>
    <t>Mountain Frames</t>
  </si>
  <si>
    <t>Classic Vest, M</t>
  </si>
  <si>
    <t>HL Road Front Wheel</t>
  </si>
  <si>
    <t>Fender Set - Mountain</t>
  </si>
  <si>
    <t>Fenders</t>
  </si>
  <si>
    <t>HL Mountain Frame - Black, 42</t>
  </si>
  <si>
    <t>ML Mountain Rear Wheel</t>
  </si>
  <si>
    <t>Women's Mountain Shorts, M</t>
  </si>
  <si>
    <t>Mountain-500 Black, 48</t>
  </si>
  <si>
    <t>All-Purpose Bike Stand</t>
  </si>
  <si>
    <t>Bike Stands</t>
  </si>
  <si>
    <t>Mountain-500 Silver, 52</t>
  </si>
  <si>
    <t>Women's Tights, L</t>
  </si>
  <si>
    <t>Tights</t>
  </si>
  <si>
    <t>Road-250 Black, 48</t>
  </si>
  <si>
    <t>Men's Bib-Shorts, M</t>
  </si>
  <si>
    <t>Bib-Shorts</t>
  </si>
  <si>
    <t>Mountain-500 Black, 44</t>
  </si>
  <si>
    <t>Mountain-500 Silver, 48</t>
  </si>
  <si>
    <t>Women's Tights, S</t>
  </si>
  <si>
    <t>Mountain-500 Silver, 40</t>
  </si>
  <si>
    <t>Mountain-500 Black, 42</t>
  </si>
  <si>
    <t>ML Mountain Tire</t>
  </si>
  <si>
    <t>ML Mountain Frame - Black, 48</t>
  </si>
  <si>
    <t>Mountain-500 Silver, 42</t>
  </si>
  <si>
    <t>ML Road Front Wheel</t>
  </si>
  <si>
    <t>Half-Finger Gloves, M</t>
  </si>
  <si>
    <t>Gloves</t>
  </si>
  <si>
    <t>Touring-2000 Blue, 54</t>
  </si>
  <si>
    <t>HL Mountain Frame - Silver, 48</t>
  </si>
  <si>
    <t>Mountain-500 Silver, 44</t>
  </si>
  <si>
    <t>Touring-2000 Blue, 60</t>
  </si>
  <si>
    <t>Mountain-500 Black, 40</t>
  </si>
  <si>
    <t>HL Road Tire</t>
  </si>
  <si>
    <t>Touring Tire</t>
  </si>
  <si>
    <t>Mountain-500 Black, 52</t>
  </si>
  <si>
    <t>ML Mountain Frame-W - Silver, 40</t>
  </si>
  <si>
    <t>Half-Finger Gloves, S</t>
  </si>
  <si>
    <t>HL Fork</t>
  </si>
  <si>
    <t>Forks</t>
  </si>
  <si>
    <t>Touring-3000 Blue, 62</t>
  </si>
  <si>
    <t>LL Road Rear Wheel</t>
  </si>
  <si>
    <t>Water Bottle - 30 oz.</t>
  </si>
  <si>
    <t>Bottles and Cages</t>
  </si>
  <si>
    <t>HL Mountain Frame - Black, 38</t>
  </si>
  <si>
    <t>HL Mountain Frame - Silver, 46</t>
  </si>
  <si>
    <t>ML Mountain Frame - Black, 44</t>
  </si>
  <si>
    <t>HL Mountain Frame - Black, 48</t>
  </si>
  <si>
    <t>ML Road Tire</t>
  </si>
  <si>
    <t>Men's Bib-Shorts, S</t>
  </si>
  <si>
    <t>LL Road Tire</t>
  </si>
  <si>
    <t>LL Mountain Tire</t>
  </si>
  <si>
    <t>Men's Sports Shorts, M</t>
  </si>
  <si>
    <t>Mountain Bottle Cage</t>
  </si>
  <si>
    <t>Front Brakes</t>
  </si>
  <si>
    <t>Brakes</t>
  </si>
  <si>
    <t>Touring-3000 Blue, 44</t>
  </si>
  <si>
    <t>ML Mountain Frame - Black, 38</t>
  </si>
  <si>
    <t>ML Mountain Frame-W - Silver, 42</t>
  </si>
  <si>
    <t>LL Crankset</t>
  </si>
  <si>
    <t>Touring-3000 Blue, 58</t>
  </si>
  <si>
    <t>Half-Finger Gloves, L</t>
  </si>
  <si>
    <t>ML Mountain Handlebars</t>
  </si>
  <si>
    <t>Handlebars</t>
  </si>
  <si>
    <t>Front Derailleur</t>
  </si>
  <si>
    <t>Derailleurs</t>
  </si>
  <si>
    <t>Men's Bib-Shorts, L</t>
  </si>
  <si>
    <t>16.76:1</t>
  </si>
  <si>
    <t>Low Cost Borne</t>
  </si>
  <si>
    <t>Adding to profits</t>
  </si>
  <si>
    <t>Touring-3000 Yellow, 58</t>
  </si>
  <si>
    <t>HL Mountain Frame - Silver, 42</t>
  </si>
  <si>
    <t>HL Mountain Front Wheel</t>
  </si>
  <si>
    <t>HL Bottom Bracket</t>
  </si>
  <si>
    <t>Bottom Brackets</t>
  </si>
  <si>
    <t>5.4:1</t>
  </si>
  <si>
    <t>Full-Finger Gloves, L</t>
  </si>
  <si>
    <t>HL Road Handlebars</t>
  </si>
  <si>
    <t>Mountain Tire Tube</t>
  </si>
  <si>
    <t>Road Bottle Cage</t>
  </si>
  <si>
    <t>Touring-3000 Yellow, 50</t>
  </si>
  <si>
    <t>LL Road Frame - Red, 60</t>
  </si>
  <si>
    <t>Road Frames</t>
  </si>
  <si>
    <t>Full-Finger Gloves, M</t>
  </si>
  <si>
    <t>HL Mountain Pedal</t>
  </si>
  <si>
    <t>Pedals</t>
  </si>
  <si>
    <t>LL Road Frame - Red, 44</t>
  </si>
  <si>
    <t>Touring-3000 Yellow, 54</t>
  </si>
  <si>
    <t>ML Mountain Front Wheel</t>
  </si>
  <si>
    <t>ML Headset</t>
  </si>
  <si>
    <t>Headsets</t>
  </si>
  <si>
    <t>HL Road Pedal</t>
  </si>
  <si>
    <t>Touring-3000 Blue, 54</t>
  </si>
  <si>
    <t>Touring-3000 Yellow, 44</t>
  </si>
  <si>
    <t>LL Mountain Frame - Black, 44</t>
  </si>
  <si>
    <t>LL Mountain Frame - Silver, 42</t>
  </si>
  <si>
    <t>Classic Vest, L</t>
  </si>
  <si>
    <t>HL Mountain Handlebars</t>
  </si>
  <si>
    <t>Bike Wash - Dissolver</t>
  </si>
  <si>
    <t>Cleaners</t>
  </si>
  <si>
    <t>LL Road Frame - Red, 62</t>
  </si>
  <si>
    <t>Rear Derailleur</t>
  </si>
  <si>
    <t>LL Road Frame - Red, 48</t>
  </si>
  <si>
    <t>ML Road Pedal</t>
  </si>
  <si>
    <t>Men's Sports Shorts, S</t>
  </si>
  <si>
    <t>LL Mountain Frame - Silver, 40</t>
  </si>
  <si>
    <t>Road Tire Tube</t>
  </si>
  <si>
    <t>LL Mountain Frame - Silver, 52</t>
  </si>
  <si>
    <t>LL Mountain Front Wheel</t>
  </si>
  <si>
    <t>Touring-3000 Yellow, 62</t>
  </si>
  <si>
    <t>Women's Tights, M</t>
  </si>
  <si>
    <t>LL Mountain Frame - Black, 42</t>
  </si>
  <si>
    <t>LL Road Pedal</t>
  </si>
  <si>
    <t>HL Road Rear Wheel</t>
  </si>
  <si>
    <t>Touring-3000 Blue, 50</t>
  </si>
  <si>
    <t>LL Mountain Frame - Silver, 44</t>
  </si>
  <si>
    <t>Short-Sleeve Classic Jersey, M</t>
  </si>
  <si>
    <t>Jerseys</t>
  </si>
  <si>
    <t>LL Mountain Frame - Black, 48</t>
  </si>
  <si>
    <t>Men's Sports Shorts, L</t>
  </si>
  <si>
    <t>HL Headset</t>
  </si>
  <si>
    <t>Long-Sleeve Logo Jersey, S</t>
  </si>
  <si>
    <t>Patch Kit/8 Patches</t>
  </si>
  <si>
    <t>LL Mountain Handlebars</t>
  </si>
  <si>
    <t>Cable Lock</t>
  </si>
  <si>
    <t>Locks</t>
  </si>
  <si>
    <t>LL Mountain Rear Wheel</t>
  </si>
  <si>
    <t>Touring Tire Tube</t>
  </si>
  <si>
    <t>LL Fork</t>
  </si>
  <si>
    <t>HL Mountain Seat/Saddle</t>
  </si>
  <si>
    <t>Saddles</t>
  </si>
  <si>
    <t>Rear Brakes</t>
  </si>
  <si>
    <t>Racing Socks, L</t>
  </si>
  <si>
    <t>Socks</t>
  </si>
  <si>
    <t>Racing Socks, M</t>
  </si>
  <si>
    <t>Minipump</t>
  </si>
  <si>
    <t>Pumps</t>
  </si>
  <si>
    <t>16.36:1</t>
  </si>
  <si>
    <t>16.32:1</t>
  </si>
  <si>
    <t>ML Mountain Frame-W - Silver, 46</t>
  </si>
  <si>
    <t>Full-Finger Gloves, S</t>
  </si>
  <si>
    <t>HL Touring Seat/Saddle</t>
  </si>
  <si>
    <t>13.44:1</t>
  </si>
  <si>
    <t>ML Mountain Pedal</t>
  </si>
  <si>
    <t>4:1</t>
  </si>
  <si>
    <t>Road-650 Red, 58</t>
  </si>
  <si>
    <t>LL Bottom Bracket</t>
  </si>
  <si>
    <t>HL Touring Handlebars</t>
  </si>
  <si>
    <t>ML Mountain Seat/Saddle</t>
  </si>
  <si>
    <t>16.38:1</t>
  </si>
  <si>
    <t>LL Mountain Pedal</t>
  </si>
  <si>
    <t>ML Road Rear Wheel</t>
  </si>
  <si>
    <t>ML Crankset</t>
  </si>
  <si>
    <t>Road-550-W Yellow, 40</t>
  </si>
  <si>
    <t>1.52:1</t>
  </si>
  <si>
    <t>High Cost Borne</t>
  </si>
  <si>
    <t>Chain</t>
  </si>
  <si>
    <t>Chains</t>
  </si>
  <si>
    <t>10.72:1</t>
  </si>
  <si>
    <t>HL Mountain Frame - Black, 44</t>
  </si>
  <si>
    <t>Touring Pedal</t>
  </si>
  <si>
    <t>16.64:1</t>
  </si>
  <si>
    <t>Mountain Bike Socks, M</t>
  </si>
  <si>
    <t>ML Mountain Frame - Black, 40</t>
  </si>
  <si>
    <t>LL Mountain Seat/Saddle</t>
  </si>
  <si>
    <t>LL Road Frame - Red, 52</t>
  </si>
  <si>
    <t>0.49:1</t>
  </si>
  <si>
    <t>LL Road Handlebars</t>
  </si>
  <si>
    <t>5.22:1</t>
  </si>
  <si>
    <t>ML Road Frame - Red, 48</t>
  </si>
  <si>
    <t>HL Road Seat/Saddle</t>
  </si>
  <si>
    <t>0.75:1</t>
  </si>
  <si>
    <t>5.21:1</t>
  </si>
  <si>
    <t>0.33:1</t>
  </si>
  <si>
    <t>0.52:1</t>
  </si>
  <si>
    <t>16.66:1</t>
  </si>
  <si>
    <t>5.3:1</t>
  </si>
  <si>
    <t>LL Mountain Frame - Silver, 48</t>
  </si>
  <si>
    <t>5.16:1</t>
  </si>
  <si>
    <t>1.23:1</t>
  </si>
  <si>
    <t>ML Touring Seat/Saddle</t>
  </si>
  <si>
    <t>LL Headset</t>
  </si>
  <si>
    <t>10.73:1</t>
  </si>
  <si>
    <t>3.07:1</t>
  </si>
  <si>
    <t>ML Road Frame - Red, 52</t>
  </si>
  <si>
    <t>0.23:1</t>
  </si>
  <si>
    <t>1.97:1</t>
  </si>
  <si>
    <t>LL Touring Handlebars</t>
  </si>
  <si>
    <t>LL Touring Seat/Saddle</t>
  </si>
  <si>
    <t>2.85:1</t>
  </si>
  <si>
    <t>1.79:1</t>
  </si>
  <si>
    <t>1.22:1</t>
  </si>
  <si>
    <t>8.98:1</t>
  </si>
  <si>
    <t>HL Touring Frame - Blue, 54</t>
  </si>
  <si>
    <t>Touring Frames</t>
  </si>
  <si>
    <t>HL Touring Frame - Yellow, 54</t>
  </si>
  <si>
    <t>6:1</t>
  </si>
  <si>
    <t>18.18:1</t>
  </si>
  <si>
    <t>HL Touring Frame - Yellow, 60</t>
  </si>
  <si>
    <t>Mountain Bike Socks, L</t>
  </si>
  <si>
    <t>HL Touring Frame - Blue, 60</t>
  </si>
  <si>
    <t>LL Mountain Frame - Black, 52</t>
  </si>
  <si>
    <t>16.75:1</t>
  </si>
  <si>
    <t>ML Mountain Frame-W - Silver, 38</t>
  </si>
  <si>
    <t>LL Mountain Frame - Black, 40</t>
  </si>
  <si>
    <t>1.16:1</t>
  </si>
  <si>
    <t>HL Touring Frame - Blue, 50</t>
  </si>
  <si>
    <t>0.13:1</t>
  </si>
  <si>
    <t>HL Touring Frame - Blue, 46</t>
  </si>
  <si>
    <t>LL Touring Frame - Yellow, 62</t>
  </si>
  <si>
    <t>LL Touring Frame - Blue, 50</t>
  </si>
  <si>
    <t>LL Touring Frame - Yellow, 44</t>
  </si>
  <si>
    <t>HL Touring Frame - Yellow, 46</t>
  </si>
  <si>
    <t>16.78:1</t>
  </si>
  <si>
    <t>1.85:1</t>
  </si>
  <si>
    <t>HL Touring Frame - Yellow, 50</t>
  </si>
  <si>
    <t>LL Touring Frame - Yellow, 50</t>
  </si>
  <si>
    <t>LL Road Seat/Saddle</t>
  </si>
  <si>
    <t>LL Touring Frame - Blue, 54</t>
  </si>
  <si>
    <t>LL Touring Frame - Yellow, 58</t>
  </si>
  <si>
    <t>LL Touring Frame - Blue, 44</t>
  </si>
  <si>
    <t>16.69:1</t>
  </si>
  <si>
    <t>LL Touring Frame - Blue, 62</t>
  </si>
  <si>
    <t>LL Touring Frame - Blue, 58</t>
  </si>
  <si>
    <t>-0.44:1</t>
  </si>
  <si>
    <t>Eating Profits</t>
  </si>
  <si>
    <t>-2.67:1</t>
  </si>
  <si>
    <t>AWC Logo Cap</t>
  </si>
  <si>
    <t>Caps</t>
  </si>
  <si>
    <t>-6.69:1</t>
  </si>
  <si>
    <t>-0.19:1</t>
  </si>
  <si>
    <t>Short-Sleeve Classic Jersey, S</t>
  </si>
  <si>
    <t>-9:1</t>
  </si>
  <si>
    <t>Short-Sleeve Classic Jersey, XL</t>
  </si>
  <si>
    <t>-6.4:1</t>
  </si>
  <si>
    <t>-4.59:1</t>
  </si>
  <si>
    <t>Road-650 Black, 60</t>
  </si>
  <si>
    <t>-2.8:1</t>
  </si>
  <si>
    <t>Road-650 Black, 44</t>
  </si>
  <si>
    <t>Long-Sleeve Logo Jersey, L</t>
  </si>
  <si>
    <t>-7.02:1</t>
  </si>
  <si>
    <t>Long-Sleeve Logo Jersey, M</t>
  </si>
  <si>
    <t>ML Road Frame-W - Yellow, 44</t>
  </si>
  <si>
    <t>-8.54:1</t>
  </si>
  <si>
    <t>-3.07:1</t>
  </si>
  <si>
    <t>LL Road Frame - Black, 52</t>
  </si>
  <si>
    <t>-4.53:1</t>
  </si>
  <si>
    <t>-0.84:1</t>
  </si>
  <si>
    <t>-5.86:1</t>
  </si>
  <si>
    <t>Road-650 Black, 62</t>
  </si>
  <si>
    <t>-0.69:1</t>
  </si>
  <si>
    <t>-0.77:1</t>
  </si>
  <si>
    <t>Road-450 Red, 58</t>
  </si>
  <si>
    <t>-3.31:1</t>
  </si>
  <si>
    <t>Long-Sleeve Logo Jersey, XL</t>
  </si>
  <si>
    <t>-19.15:1</t>
  </si>
  <si>
    <t>Road-450 Red, 48</t>
  </si>
  <si>
    <t>LL Road Frame - Black, 60</t>
  </si>
  <si>
    <t>-9.36:1</t>
  </si>
  <si>
    <t>Road-650 Black, 58</t>
  </si>
  <si>
    <t>-3.6:1</t>
  </si>
  <si>
    <t>-18.38:1</t>
  </si>
  <si>
    <t>-17.38:1</t>
  </si>
  <si>
    <t>Road-650 Black, 48</t>
  </si>
  <si>
    <t>Road-650 Red, 62</t>
  </si>
  <si>
    <t>-4.14:1</t>
  </si>
  <si>
    <t>Road-550-W Yellow, 48</t>
  </si>
  <si>
    <t>-6.92:1</t>
  </si>
  <si>
    <t>Road-450 Red, 44</t>
  </si>
  <si>
    <t>Road-450 Red, 60</t>
  </si>
  <si>
    <t>Short-Sleeve Classic Jersey, L</t>
  </si>
  <si>
    <t>LL Road Frame - Black, 44</t>
  </si>
  <si>
    <t>-18.4:1</t>
  </si>
  <si>
    <t>Road-650 Red, 48</t>
  </si>
  <si>
    <t>Road-550-W Yellow, 38</t>
  </si>
  <si>
    <t>-9.89:1</t>
  </si>
  <si>
    <t>-1.56:1</t>
  </si>
  <si>
    <t>HL Road Frame - Red, 48</t>
  </si>
  <si>
    <t>HL Road Frame - Black, 48</t>
  </si>
  <si>
    <t>ML Road Frame-W - Yellow, 40</t>
  </si>
  <si>
    <t>Road-650 Red, 44</t>
  </si>
  <si>
    <t>-8.97:1</t>
  </si>
  <si>
    <t>Road-450 Red, 52</t>
  </si>
  <si>
    <t>-9.2:1</t>
  </si>
  <si>
    <t>-9.39:1</t>
  </si>
  <si>
    <t>Road-650 Red, 60</t>
  </si>
  <si>
    <t>-18.47:1</t>
  </si>
  <si>
    <t>-3.54:1</t>
  </si>
  <si>
    <t>-4.86:1</t>
  </si>
  <si>
    <t>-3.43:1</t>
  </si>
  <si>
    <t>Road-650 Black, 52</t>
  </si>
  <si>
    <t>-6.44:1</t>
  </si>
  <si>
    <t>-5.32:1</t>
  </si>
  <si>
    <t>Very High Cost Borne</t>
  </si>
  <si>
    <t>LL Road Frame - Black, 58</t>
  </si>
  <si>
    <t>-3.73:1</t>
  </si>
  <si>
    <t>Road-650 Red, 52</t>
  </si>
  <si>
    <t>Road-250 Black, 44</t>
  </si>
  <si>
    <t>-12.45:1</t>
  </si>
  <si>
    <t>ML Road Frame-W - Yellow, 48</t>
  </si>
  <si>
    <t>ML Road Frame-W - Yellow, 38</t>
  </si>
  <si>
    <t>HL Road Frame - Black, 44</t>
  </si>
  <si>
    <t>HL Road Frame - Red, 44</t>
  </si>
  <si>
    <t>HL Road Frame - Red, 62</t>
  </si>
  <si>
    <t>-4.57:1</t>
  </si>
  <si>
    <t>-3.77:1</t>
  </si>
  <si>
    <t xml:space="preserve">Product name </t>
  </si>
  <si>
    <t>Discount efficiency ratio</t>
  </si>
  <si>
    <t>discount buckets</t>
  </si>
  <si>
    <t>Impact on Business</t>
  </si>
  <si>
    <t>Discount_strategy</t>
  </si>
  <si>
    <t>Number_of_orders</t>
  </si>
  <si>
    <t>Total_orders</t>
  </si>
  <si>
    <t>Total_Revenue</t>
  </si>
  <si>
    <t>Total_discounts</t>
  </si>
  <si>
    <t>Total_Profit</t>
  </si>
  <si>
    <t>Strategy_Efficiency</t>
  </si>
  <si>
    <t>No Discount</t>
  </si>
  <si>
    <t>Low discount (Revenue leak)</t>
  </si>
  <si>
    <t>Moderate</t>
  </si>
  <si>
    <t>High</t>
  </si>
  <si>
    <t>Very High</t>
  </si>
  <si>
    <t xml:space="preserve">Classification </t>
  </si>
  <si>
    <t>Categories</t>
  </si>
  <si>
    <t>Impact On business</t>
  </si>
  <si>
    <t>Row Labels</t>
  </si>
  <si>
    <t>Grand Total</t>
  </si>
  <si>
    <t>Column Labels</t>
  </si>
  <si>
    <t xml:space="preserve">Count of Product name </t>
  </si>
  <si>
    <t>Sum of Profit</t>
  </si>
  <si>
    <t>Subcategories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</si>
</sst>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0" xfId="0" pivotButton="1"/>
    <xf numFmtId="0" fontId="0" fillId="0" borderId="0" xfId="0" applyNumberFormat="1"/>
    <xf numFmtId="0" fontId="0" fillId="0" borderId="0" xfId="0" applyFont="1" applyFill="1" applyBorder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NumberFormat="1" applyFill="1"/>
    <xf numFmtId="0" fontId="1" fillId="3" borderId="0" xfId="0" applyNumberFormat="1" applyFont="1" applyFill="1"/>
    <xf numFmtId="0" fontId="1" fillId="0" borderId="0" xfId="0" applyNumberFormat="1" applyFont="1"/>
    <xf numFmtId="0" fontId="0" fillId="0" borderId="0" xfId="0" applyFon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1"/>
      </font>
    </dxf>
    <dxf>
      <font>
        <color theme="0"/>
      </font>
    </dxf>
    <dxf>
      <font>
        <color theme="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Total_discounts by Discount_strategy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High</c:v>
              </c:pt>
              <c:pt idx="1">
                <c:v>Low discount (Revenue leak)</c:v>
              </c:pt>
              <c:pt idx="2">
                <c:v>Moderate</c:v>
              </c:pt>
              <c:pt idx="3">
                <c:v>No Discount</c:v>
              </c:pt>
              <c:pt idx="4">
                <c:v>Very High</c:v>
              </c:pt>
            </c:strLit>
          </c:cat>
          <c:val>
            <c:numLit>
              <c:formatCode>General</c:formatCode>
              <c:ptCount val="5"/>
              <c:pt idx="0">
                <c:v>323293.03000000003</c:v>
              </c:pt>
              <c:pt idx="1">
                <c:v>162715.76999999999</c:v>
              </c:pt>
              <c:pt idx="2">
                <c:v>99821.140000000014</c:v>
              </c:pt>
              <c:pt idx="3">
                <c:v>0</c:v>
              </c:pt>
              <c:pt idx="4">
                <c:v>17266.09</c:v>
              </c:pt>
            </c:numLit>
          </c:val>
          <c:extLst>
            <c:ext xmlns:c16="http://schemas.microsoft.com/office/drawing/2014/chart" uri="{C3380CC4-5D6E-409C-BE32-E72D297353CC}">
              <c16:uniqueId val="{00000000-55F3-4A34-B66B-73D5A287F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4597984"/>
        <c:axId val="1754601312"/>
      </c:barChart>
      <c:catAx>
        <c:axId val="1754597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601312"/>
        <c:crosses val="autoZero"/>
        <c:auto val="1"/>
        <c:lblAlgn val="ctr"/>
        <c:lblOffset val="100"/>
        <c:noMultiLvlLbl val="0"/>
      </c:catAx>
      <c:valAx>
        <c:axId val="175460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59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/>
    <cx:plotArea>
      <cx:plotAreaRegion>
        <cx:series layoutId="treemap" uniqueId="{3932B59B-3A19-4C6E-BC3B-FAAB664BED7D}">
          <cx:tx>
            <cx:txData>
              <cx:f>_xlchart.v1.13</cx:f>
              <cx:v>Total_Revenue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Impact On business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Impact On business </a:t>
          </a:r>
        </a:p>
      </cx:txPr>
    </cx:title>
    <cx:plotArea>
      <cx:plotAreaRegion>
        <cx:series layoutId="waterfall" uniqueId="{087AC869-5158-4993-8B10-C13D1C1A4657}">
          <cx:tx>
            <cx:txData>
              <cx:f>_xlchart.v1.7</cx:f>
              <cx:v>Impact On business</cx:v>
            </cx:txData>
          </cx:tx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5">
  <cs:axisTitle>
    <cs:lnRef idx="0"/>
    <cs:fillRef idx="0"/>
    <cs:effectRef idx="0"/>
    <cs:fontRef idx="minor">
      <a:schemeClr val="lt1">
        <a:lumMod val="95000"/>
      </a:schemeClr>
    </cs:fontRef>
    <cs:spPr>
      <a:solidFill>
        <a:schemeClr val="bg1">
          <a:lumMod val="65000"/>
        </a:schemeClr>
      </a:solidFill>
      <a:ln>
        <a:solidFill>
          <a:schemeClr val="tx1"/>
        </a:solidFill>
      </a:ln>
    </cs:spPr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1</xdr:row>
      <xdr:rowOff>123825</xdr:rowOff>
    </xdr:from>
    <xdr:to>
      <xdr:col>23</xdr:col>
      <xdr:colOff>381000</xdr:colOff>
      <xdr:row>3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3C8E72E-E674-4220-B9C3-DF66AA739D2A}"/>
            </a:ext>
          </a:extLst>
        </xdr:cNvPr>
        <xdr:cNvSpPr/>
      </xdr:nvSpPr>
      <xdr:spPr>
        <a:xfrm>
          <a:off x="8267700" y="314325"/>
          <a:ext cx="6134100" cy="4191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/>
            <a:t>Discount</a:t>
          </a:r>
          <a:r>
            <a:rPr lang="en-IN" sz="2800" baseline="0"/>
            <a:t> Dashboard </a:t>
          </a:r>
          <a:r>
            <a:rPr lang="en-IN" sz="28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 Apex Velo &amp; CO.</a:t>
          </a:r>
          <a:endParaRPr lang="en-IN" sz="2800">
            <a:effectLst/>
          </a:endParaRPr>
        </a:p>
        <a:p>
          <a:pPr algn="l"/>
          <a:endParaRPr lang="en-IN" sz="2800" baseline="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304800</xdr:colOff>
      <xdr:row>13</xdr:row>
      <xdr:rowOff>114301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5B0277EF-A431-4FEE-970D-A0DEF3598F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5908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342901</xdr:colOff>
      <xdr:row>0</xdr:row>
      <xdr:rowOff>57149</xdr:rowOff>
    </xdr:from>
    <xdr:to>
      <xdr:col>14</xdr:col>
      <xdr:colOff>409575</xdr:colOff>
      <xdr:row>13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42412F0-12F2-436F-89D8-D0205C0AA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142875</xdr:colOff>
      <xdr:row>14</xdr:row>
      <xdr:rowOff>161925</xdr:rowOff>
    </xdr:from>
    <xdr:to>
      <xdr:col>7</xdr:col>
      <xdr:colOff>285750</xdr:colOff>
      <xdr:row>28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02DDDC89-6B1A-48F7-BA1F-86FC85338B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" y="2828925"/>
              <a:ext cx="4410075" cy="2514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26.03308645833" createdVersion="7" refreshedVersion="7" minRefreshableVersion="3" recordCount="484" xr:uid="{03FED6E8-2ADB-49EC-807F-D5E207152A6E}">
  <cacheSource type="worksheet">
    <worksheetSource name="Discount_Impact"/>
  </cacheSource>
  <cacheFields count="7">
    <cacheField name="Product name " numFmtId="0">
      <sharedItems/>
    </cacheField>
    <cacheField name="category" numFmtId="0">
      <sharedItems/>
    </cacheField>
    <cacheField name="subcategory" numFmtId="0">
      <sharedItems count="35">
        <s v="Mountain Bikes"/>
        <s v="Road Bikes"/>
        <s v="Touring Bikes"/>
        <s v="Bike Racks"/>
        <s v="Helmets"/>
        <s v="Hydration Packs"/>
        <s v="Wheels"/>
        <s v="Cranksets"/>
        <s v="Shorts"/>
        <s v="Vests"/>
        <s v="Tires and Tubes"/>
        <s v="Mountain Frames"/>
        <s v="Fenders"/>
        <s v="Bike Stands"/>
        <s v="Tights"/>
        <s v="Bib-Shorts"/>
        <s v="Gloves"/>
        <s v="Forks"/>
        <s v="Bottles and Cages"/>
        <s v="Brakes"/>
        <s v="Handlebars"/>
        <s v="Derailleurs"/>
        <s v="Bottom Brackets"/>
        <s v="Road Frames"/>
        <s v="Pedals"/>
        <s v="Headsets"/>
        <s v="Cleaners"/>
        <s v="Jerseys"/>
        <s v="Locks"/>
        <s v="Saddles"/>
        <s v="Socks"/>
        <s v="Pumps"/>
        <s v="Chains"/>
        <s v="Touring Frames"/>
        <s v="Caps"/>
      </sharedItems>
    </cacheField>
    <cacheField name="Profit" numFmtId="0">
      <sharedItems containsSemiMixedTypes="0" containsString="0" containsNumber="1" containsInteger="1" minValue="-212835" maxValue="678168"/>
    </cacheField>
    <cacheField name="Discount efficiency ratio" numFmtId="0">
      <sharedItems/>
    </cacheField>
    <cacheField name="discount buckets" numFmtId="0">
      <sharedItems count="5">
        <s v="No Cost Borne"/>
        <s v="Low Cost Borne"/>
        <s v="High Cost Borne"/>
        <s v="Very High Cost Borne"/>
        <s v="NULL"/>
      </sharedItems>
    </cacheField>
    <cacheField name="Impact on Business" numFmtId="0">
      <sharedItems count="3">
        <s v="NO contribution"/>
        <s v="Adding to profits"/>
        <s v="Eating Profi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">
  <r>
    <s v="Mountain-200 Black, 42"/>
    <s v="Bikes"/>
    <x v="0"/>
    <n v="678168"/>
    <s v="NULL"/>
    <x v="0"/>
    <x v="0"/>
  </r>
  <r>
    <s v="Mountain-200 Black, 38"/>
    <s v="Bikes"/>
    <x v="0"/>
    <n v="674751"/>
    <s v="NULL"/>
    <x v="0"/>
    <x v="0"/>
  </r>
  <r>
    <s v="Mountain-200 Black, 46"/>
    <s v="Bikes"/>
    <x v="0"/>
    <n v="667016"/>
    <s v="NULL"/>
    <x v="0"/>
    <x v="0"/>
  </r>
  <r>
    <s v="Mountain-200 Silver, 38"/>
    <s v="Bikes"/>
    <x v="0"/>
    <n v="662858"/>
    <s v="NULL"/>
    <x v="0"/>
    <x v="0"/>
  </r>
  <r>
    <s v="Mountain-200 Silver, 46"/>
    <s v="Bikes"/>
    <x v="0"/>
    <n v="630910"/>
    <s v="NULL"/>
    <x v="0"/>
    <x v="0"/>
  </r>
  <r>
    <s v="Mountain-200 Silver, 42"/>
    <s v="Bikes"/>
    <x v="0"/>
    <n v="613330"/>
    <s v="NULL"/>
    <x v="0"/>
    <x v="0"/>
  </r>
  <r>
    <s v="Road-150 Red, 48"/>
    <s v="Bikes"/>
    <x v="1"/>
    <n v="470355"/>
    <s v="NULL"/>
    <x v="0"/>
    <x v="0"/>
  </r>
  <r>
    <s v="Road-150 Red, 62"/>
    <s v="Bikes"/>
    <x v="1"/>
    <n v="466320"/>
    <s v="NULL"/>
    <x v="0"/>
    <x v="0"/>
  </r>
  <r>
    <s v="Road-150 Red, 52"/>
    <s v="Bikes"/>
    <x v="1"/>
    <n v="421111"/>
    <s v="NULL"/>
    <x v="0"/>
    <x v="0"/>
  </r>
  <r>
    <s v="Road-150 Red, 56"/>
    <s v="Bikes"/>
    <x v="1"/>
    <n v="406079"/>
    <s v="NULL"/>
    <x v="0"/>
    <x v="0"/>
  </r>
  <r>
    <s v="Road-150 Red, 44"/>
    <s v="Bikes"/>
    <x v="1"/>
    <n v="391564"/>
    <s v="NULL"/>
    <x v="0"/>
    <x v="0"/>
  </r>
  <r>
    <s v="Mountain-100 Black, 44"/>
    <s v="Bikes"/>
    <x v="0"/>
    <n v="156759"/>
    <s v="NULL"/>
    <x v="0"/>
    <x v="0"/>
  </r>
  <r>
    <s v="Mountain-100 Silver, 38"/>
    <s v="Bikes"/>
    <x v="0"/>
    <n v="152643"/>
    <s v="NULL"/>
    <x v="0"/>
    <x v="0"/>
  </r>
  <r>
    <s v="Mountain-100 Black, 48"/>
    <s v="Bikes"/>
    <x v="0"/>
    <n v="147379"/>
    <s v="NULL"/>
    <x v="0"/>
    <x v="0"/>
  </r>
  <r>
    <s v="Mountain-100 Black, 38"/>
    <s v="Bikes"/>
    <x v="0"/>
    <n v="139244"/>
    <s v="NULL"/>
    <x v="0"/>
    <x v="0"/>
  </r>
  <r>
    <s v="Touring-1000 Yellow, 54"/>
    <s v="Bikes"/>
    <x v="2"/>
    <n v="134195"/>
    <s v="NULL"/>
    <x v="0"/>
    <x v="0"/>
  </r>
  <r>
    <s v="Mountain-100 Silver, 44"/>
    <s v="Bikes"/>
    <x v="0"/>
    <n v="134139"/>
    <s v="NULL"/>
    <x v="0"/>
    <x v="0"/>
  </r>
  <r>
    <s v="Mountain-100 Black, 42"/>
    <s v="Bikes"/>
    <x v="0"/>
    <n v="132067"/>
    <s v="NULL"/>
    <x v="0"/>
    <x v="0"/>
  </r>
  <r>
    <s v="Touring-1000 Blue, 54"/>
    <s v="Bikes"/>
    <x v="2"/>
    <n v="131313"/>
    <s v="NULL"/>
    <x v="0"/>
    <x v="0"/>
  </r>
  <r>
    <s v="Touring-1000 Yellow, 46"/>
    <s v="Bikes"/>
    <x v="2"/>
    <n v="127462"/>
    <s v="NULL"/>
    <x v="0"/>
    <x v="0"/>
  </r>
  <r>
    <s v="Mountain-100 Silver, 42"/>
    <s v="Bikes"/>
    <x v="0"/>
    <n v="124363"/>
    <s v="NULL"/>
    <x v="0"/>
    <x v="0"/>
  </r>
  <r>
    <s v="Touring-1000 Blue, 46"/>
    <s v="Bikes"/>
    <x v="2"/>
    <n v="123579"/>
    <s v="NULL"/>
    <x v="0"/>
    <x v="0"/>
  </r>
  <r>
    <s v="Touring-1000 Yellow, 50"/>
    <s v="Bikes"/>
    <x v="2"/>
    <n v="117786"/>
    <s v="NULL"/>
    <x v="0"/>
    <x v="0"/>
  </r>
  <r>
    <s v="Road-250 Red, 48"/>
    <s v="Bikes"/>
    <x v="1"/>
    <n v="116935"/>
    <s v="NULL"/>
    <x v="0"/>
    <x v="0"/>
  </r>
  <r>
    <s v="Road-250 Red, 58"/>
    <s v="Bikes"/>
    <x v="1"/>
    <n v="116027"/>
    <s v="NULL"/>
    <x v="0"/>
    <x v="0"/>
  </r>
  <r>
    <s v="Road-350-W Yellow, 44"/>
    <s v="Bikes"/>
    <x v="1"/>
    <n v="113779"/>
    <s v="NULL"/>
    <x v="0"/>
    <x v="0"/>
  </r>
  <r>
    <s v="Touring-1000 Blue, 50"/>
    <s v="Bikes"/>
    <x v="2"/>
    <n v="109623"/>
    <s v="NULL"/>
    <x v="0"/>
    <x v="0"/>
  </r>
  <r>
    <s v="Mountain-100 Silver, 48"/>
    <s v="Bikes"/>
    <x v="0"/>
    <n v="108405"/>
    <s v="NULL"/>
    <x v="0"/>
    <x v="0"/>
  </r>
  <r>
    <s v="Road-350-W Yellow, 42"/>
    <s v="Bikes"/>
    <x v="1"/>
    <n v="103859"/>
    <s v="NULL"/>
    <x v="0"/>
    <x v="0"/>
  </r>
  <r>
    <s v="Touring-1000 Yellow, 60"/>
    <s v="Bikes"/>
    <x v="2"/>
    <n v="96637"/>
    <s v="NULL"/>
    <x v="0"/>
    <x v="0"/>
  </r>
  <r>
    <s v="Road-250 Red, 52"/>
    <s v="Bikes"/>
    <x v="1"/>
    <n v="96262"/>
    <s v="NULL"/>
    <x v="0"/>
    <x v="0"/>
  </r>
  <r>
    <s v="Road-250 Red, 44"/>
    <s v="Bikes"/>
    <x v="1"/>
    <n v="95560"/>
    <s v="NULL"/>
    <x v="0"/>
    <x v="0"/>
  </r>
  <r>
    <s v="Touring-1000 Blue, 60"/>
    <s v="Bikes"/>
    <x v="2"/>
    <n v="91726"/>
    <s v="NULL"/>
    <x v="0"/>
    <x v="0"/>
  </r>
  <r>
    <s v="Road-250 Black, 58"/>
    <s v="Bikes"/>
    <x v="1"/>
    <n v="91375"/>
    <s v="NULL"/>
    <x v="0"/>
    <x v="0"/>
  </r>
  <r>
    <s v="Road-350-W Yellow, 40"/>
    <s v="Bikes"/>
    <x v="1"/>
    <n v="88373"/>
    <s v="NULL"/>
    <x v="0"/>
    <x v="0"/>
  </r>
  <r>
    <s v="Road-350-W Yellow, 48"/>
    <s v="Bikes"/>
    <x v="1"/>
    <n v="79962"/>
    <s v="NULL"/>
    <x v="0"/>
    <x v="0"/>
  </r>
  <r>
    <s v="Road-250 Black, 52"/>
    <s v="Bikes"/>
    <x v="1"/>
    <n v="76538"/>
    <s v="NULL"/>
    <x v="0"/>
    <x v="0"/>
  </r>
  <r>
    <s v="Hitch Rack - 4-Bike"/>
    <s v="Accessories"/>
    <x v="3"/>
    <n v="76466"/>
    <s v="NULL"/>
    <x v="0"/>
    <x v="0"/>
  </r>
  <r>
    <s v="Sport-100 Helmet, Red"/>
    <s v="Accessories"/>
    <x v="4"/>
    <n v="71809"/>
    <s v="NULL"/>
    <x v="0"/>
    <x v="0"/>
  </r>
  <r>
    <s v="Sport-100 Helmet, Blue"/>
    <s v="Accessories"/>
    <x v="4"/>
    <n v="71723"/>
    <s v="NULL"/>
    <x v="0"/>
    <x v="0"/>
  </r>
  <r>
    <s v="Sport-100 Helmet, Black"/>
    <s v="Accessories"/>
    <x v="4"/>
    <n v="70157"/>
    <s v="NULL"/>
    <x v="0"/>
    <x v="0"/>
  </r>
  <r>
    <s v="Road-750 Black, 44"/>
    <s v="Bikes"/>
    <x v="1"/>
    <n v="64864"/>
    <s v="NULL"/>
    <x v="0"/>
    <x v="0"/>
  </r>
  <r>
    <s v="Mountain-400-W Silver, 40"/>
    <s v="Bikes"/>
    <x v="0"/>
    <n v="64296"/>
    <s v="NULL"/>
    <x v="0"/>
    <x v="0"/>
  </r>
  <r>
    <s v="Mountain-400-W Silver, 38"/>
    <s v="Bikes"/>
    <x v="0"/>
    <n v="63368"/>
    <s v="NULL"/>
    <x v="0"/>
    <x v="0"/>
  </r>
  <r>
    <s v="Mountain-400-W Silver, 46"/>
    <s v="Bikes"/>
    <x v="0"/>
    <n v="58823"/>
    <s v="NULL"/>
    <x v="0"/>
    <x v="0"/>
  </r>
  <r>
    <s v="Road-750 Black, 52"/>
    <s v="Bikes"/>
    <x v="1"/>
    <n v="58471"/>
    <s v="NULL"/>
    <x v="0"/>
    <x v="0"/>
  </r>
  <r>
    <s v="Road-550-W Yellow, 44"/>
    <s v="Bikes"/>
    <x v="1"/>
    <n v="56801"/>
    <s v="NULL"/>
    <x v="0"/>
    <x v="0"/>
  </r>
  <r>
    <s v="Mountain-400-W Silver, 42"/>
    <s v="Bikes"/>
    <x v="0"/>
    <n v="55843"/>
    <s v="NULL"/>
    <x v="0"/>
    <x v="0"/>
  </r>
  <r>
    <s v="Road-750 Black, 58"/>
    <s v="Bikes"/>
    <x v="1"/>
    <n v="54610"/>
    <s v="NULL"/>
    <x v="0"/>
    <x v="0"/>
  </r>
  <r>
    <s v="Road-750 Black, 48"/>
    <s v="Bikes"/>
    <x v="1"/>
    <n v="50397"/>
    <s v="NULL"/>
    <x v="0"/>
    <x v="0"/>
  </r>
  <r>
    <s v="Hydration Pack - 70 oz."/>
    <s v="Accessories"/>
    <x v="5"/>
    <n v="43253"/>
    <s v="NULL"/>
    <x v="0"/>
    <x v="0"/>
  </r>
  <r>
    <s v="Touring-2000 Blue, 50"/>
    <s v="Bikes"/>
    <x v="2"/>
    <n v="43060"/>
    <s v="NULL"/>
    <x v="0"/>
    <x v="0"/>
  </r>
  <r>
    <s v="Road-550-W Yellow, 42"/>
    <s v="Bikes"/>
    <x v="1"/>
    <n v="41403"/>
    <s v="NULL"/>
    <x v="0"/>
    <x v="0"/>
  </r>
  <r>
    <s v="HL Mountain Rear Wheel"/>
    <s v="Components"/>
    <x v="6"/>
    <n v="40224"/>
    <s v="NULL"/>
    <x v="0"/>
    <x v="0"/>
  </r>
  <r>
    <s v="HL Crankset"/>
    <s v="Components"/>
    <x v="7"/>
    <n v="37086"/>
    <s v="NULL"/>
    <x v="0"/>
    <x v="0"/>
  </r>
  <r>
    <s v="Mountain-300 Black, 44"/>
    <s v="Bikes"/>
    <x v="0"/>
    <n v="37020"/>
    <s v="NULL"/>
    <x v="0"/>
    <x v="0"/>
  </r>
  <r>
    <s v="Mountain-300 Black, 40"/>
    <s v="Bikes"/>
    <x v="0"/>
    <n v="36723"/>
    <s v="NULL"/>
    <x v="0"/>
    <x v="0"/>
  </r>
  <r>
    <s v="Women's Mountain Shorts, L"/>
    <s v="Clothing"/>
    <x v="8"/>
    <n v="36388"/>
    <s v="NULL"/>
    <x v="0"/>
    <x v="0"/>
  </r>
  <r>
    <s v="Mountain-300 Black, 48"/>
    <s v="Bikes"/>
    <x v="0"/>
    <n v="36029"/>
    <s v="NULL"/>
    <x v="0"/>
    <x v="0"/>
  </r>
  <r>
    <s v="Women's Mountain Shorts, S"/>
    <s v="Clothing"/>
    <x v="8"/>
    <n v="34325"/>
    <s v="NULL"/>
    <x v="0"/>
    <x v="0"/>
  </r>
  <r>
    <s v="Classic Vest, S"/>
    <s v="Clothing"/>
    <x v="9"/>
    <n v="33385"/>
    <s v="NULL"/>
    <x v="0"/>
    <x v="0"/>
  </r>
  <r>
    <s v="Touring-2000 Blue, 46"/>
    <s v="Bikes"/>
    <x v="2"/>
    <n v="33307"/>
    <s v="NULL"/>
    <x v="0"/>
    <x v="0"/>
  </r>
  <r>
    <s v="Mountain-300 Black, 38"/>
    <s v="Bikes"/>
    <x v="0"/>
    <n v="32808"/>
    <s v="NULL"/>
    <x v="0"/>
    <x v="0"/>
  </r>
  <r>
    <s v="HL Mountain Tire"/>
    <s v="Accessories"/>
    <x v="10"/>
    <n v="30586"/>
    <s v="NULL"/>
    <x v="0"/>
    <x v="0"/>
  </r>
  <r>
    <s v="HL Mountain Frame - Silver, 38"/>
    <s v="Components"/>
    <x v="11"/>
    <n v="29345"/>
    <s v="NULL"/>
    <x v="0"/>
    <x v="0"/>
  </r>
  <r>
    <s v="Classic Vest, M"/>
    <s v="Clothing"/>
    <x v="9"/>
    <n v="29308"/>
    <s v="NULL"/>
    <x v="0"/>
    <x v="0"/>
  </r>
  <r>
    <s v="HL Road Front Wheel"/>
    <s v="Components"/>
    <x v="6"/>
    <n v="29194"/>
    <s v="NULL"/>
    <x v="0"/>
    <x v="0"/>
  </r>
  <r>
    <s v="Fender Set - Mountain"/>
    <s v="Accessories"/>
    <x v="12"/>
    <n v="29184"/>
    <s v="NULL"/>
    <x v="0"/>
    <x v="0"/>
  </r>
  <r>
    <s v="HL Mountain Frame - Black, 42"/>
    <s v="Components"/>
    <x v="11"/>
    <n v="28783"/>
    <s v="NULL"/>
    <x v="0"/>
    <x v="0"/>
  </r>
  <r>
    <s v="ML Mountain Rear Wheel"/>
    <s v="Components"/>
    <x v="6"/>
    <n v="28704"/>
    <s v="NULL"/>
    <x v="0"/>
    <x v="0"/>
  </r>
  <r>
    <s v="Women's Mountain Shorts, M"/>
    <s v="Clothing"/>
    <x v="8"/>
    <n v="27871"/>
    <s v="NULL"/>
    <x v="0"/>
    <x v="0"/>
  </r>
  <r>
    <s v="Mountain-500 Black, 48"/>
    <s v="Bikes"/>
    <x v="0"/>
    <n v="25303"/>
    <s v="NULL"/>
    <x v="0"/>
    <x v="0"/>
  </r>
  <r>
    <s v="All-Purpose Bike Stand"/>
    <s v="Accessories"/>
    <x v="13"/>
    <n v="24784"/>
    <s v="NULL"/>
    <x v="0"/>
    <x v="0"/>
  </r>
  <r>
    <s v="Mountain-500 Silver, 52"/>
    <s v="Bikes"/>
    <x v="0"/>
    <n v="23958"/>
    <s v="NULL"/>
    <x v="0"/>
    <x v="0"/>
  </r>
  <r>
    <s v="Women's Tights, L"/>
    <s v="Clothing"/>
    <x v="14"/>
    <n v="23930"/>
    <s v="NULL"/>
    <x v="0"/>
    <x v="0"/>
  </r>
  <r>
    <s v="Road-250 Black, 48"/>
    <s v="Bikes"/>
    <x v="1"/>
    <n v="23636"/>
    <s v="NULL"/>
    <x v="0"/>
    <x v="0"/>
  </r>
  <r>
    <s v="Men's Bib-Shorts, M"/>
    <s v="Clothing"/>
    <x v="15"/>
    <n v="23161"/>
    <s v="NULL"/>
    <x v="0"/>
    <x v="0"/>
  </r>
  <r>
    <s v="Mountain-500 Black, 44"/>
    <s v="Bikes"/>
    <x v="0"/>
    <n v="22823"/>
    <s v="NULL"/>
    <x v="0"/>
    <x v="0"/>
  </r>
  <r>
    <s v="Mountain-500 Silver, 48"/>
    <s v="Bikes"/>
    <x v="0"/>
    <n v="22718"/>
    <s v="NULL"/>
    <x v="0"/>
    <x v="0"/>
  </r>
  <r>
    <s v="Women's Tights, S"/>
    <s v="Clothing"/>
    <x v="14"/>
    <n v="22571"/>
    <s v="NULL"/>
    <x v="0"/>
    <x v="0"/>
  </r>
  <r>
    <s v="Mountain-500 Silver, 40"/>
    <s v="Bikes"/>
    <x v="0"/>
    <n v="22019"/>
    <s v="NULL"/>
    <x v="0"/>
    <x v="0"/>
  </r>
  <r>
    <s v="Mountain-500 Black, 42"/>
    <s v="Bikes"/>
    <x v="0"/>
    <n v="21997"/>
    <s v="NULL"/>
    <x v="0"/>
    <x v="0"/>
  </r>
  <r>
    <s v="ML Mountain Tire"/>
    <s v="Accessories"/>
    <x v="10"/>
    <n v="21796"/>
    <s v="NULL"/>
    <x v="0"/>
    <x v="0"/>
  </r>
  <r>
    <s v="ML Mountain Frame - Black, 48"/>
    <s v="Components"/>
    <x v="11"/>
    <n v="21587"/>
    <s v="NULL"/>
    <x v="0"/>
    <x v="0"/>
  </r>
  <r>
    <s v="Mountain-500 Silver, 42"/>
    <s v="Bikes"/>
    <x v="0"/>
    <n v="21557"/>
    <s v="NULL"/>
    <x v="0"/>
    <x v="0"/>
  </r>
  <r>
    <s v="ML Road Front Wheel"/>
    <s v="Components"/>
    <x v="6"/>
    <n v="20684"/>
    <s v="NULL"/>
    <x v="0"/>
    <x v="0"/>
  </r>
  <r>
    <s v="Half-Finger Gloves, M"/>
    <s v="Clothing"/>
    <x v="16"/>
    <n v="20348"/>
    <s v="NULL"/>
    <x v="0"/>
    <x v="0"/>
  </r>
  <r>
    <s v="Touring-2000 Blue, 54"/>
    <s v="Bikes"/>
    <x v="2"/>
    <n v="19592"/>
    <s v="NULL"/>
    <x v="0"/>
    <x v="0"/>
  </r>
  <r>
    <s v="HL Mountain Frame - Silver, 48"/>
    <s v="Components"/>
    <x v="11"/>
    <n v="19357"/>
    <s v="NULL"/>
    <x v="0"/>
    <x v="0"/>
  </r>
  <r>
    <s v="Mountain-500 Silver, 44"/>
    <s v="Bikes"/>
    <x v="0"/>
    <n v="18785"/>
    <s v="NULL"/>
    <x v="0"/>
    <x v="0"/>
  </r>
  <r>
    <s v="Touring-2000 Blue, 60"/>
    <s v="Bikes"/>
    <x v="2"/>
    <n v="18762"/>
    <s v="NULL"/>
    <x v="0"/>
    <x v="0"/>
  </r>
  <r>
    <s v="Mountain-500 Black, 40"/>
    <s v="Bikes"/>
    <x v="0"/>
    <n v="18663"/>
    <s v="NULL"/>
    <x v="0"/>
    <x v="0"/>
  </r>
  <r>
    <s v="HL Road Tire"/>
    <s v="Accessories"/>
    <x v="10"/>
    <n v="17510"/>
    <s v="NULL"/>
    <x v="0"/>
    <x v="0"/>
  </r>
  <r>
    <s v="Touring Tire"/>
    <s v="Accessories"/>
    <x v="10"/>
    <n v="16968"/>
    <s v="NULL"/>
    <x v="0"/>
    <x v="0"/>
  </r>
  <r>
    <s v="Mountain-500 Black, 52"/>
    <s v="Bikes"/>
    <x v="0"/>
    <n v="16857"/>
    <s v="NULL"/>
    <x v="0"/>
    <x v="0"/>
  </r>
  <r>
    <s v="ML Mountain Frame-W - Silver, 40"/>
    <s v="Components"/>
    <x v="11"/>
    <n v="16217"/>
    <s v="NULL"/>
    <x v="0"/>
    <x v="0"/>
  </r>
  <r>
    <s v="Half-Finger Gloves, S"/>
    <s v="Clothing"/>
    <x v="16"/>
    <n v="15673"/>
    <s v="NULL"/>
    <x v="0"/>
    <x v="0"/>
  </r>
  <r>
    <s v="HL Fork"/>
    <s v="Components"/>
    <x v="17"/>
    <n v="15394"/>
    <s v="NULL"/>
    <x v="0"/>
    <x v="0"/>
  </r>
  <r>
    <s v="Touring-3000 Blue, 62"/>
    <s v="Bikes"/>
    <x v="2"/>
    <n v="15380"/>
    <s v="NULL"/>
    <x v="0"/>
    <x v="0"/>
  </r>
  <r>
    <s v="LL Road Rear Wheel"/>
    <s v="Components"/>
    <x v="6"/>
    <n v="15274"/>
    <s v="NULL"/>
    <x v="0"/>
    <x v="0"/>
  </r>
  <r>
    <s v="Water Bottle - 30 oz."/>
    <s v="Accessories"/>
    <x v="18"/>
    <n v="15258"/>
    <s v="NULL"/>
    <x v="0"/>
    <x v="0"/>
  </r>
  <r>
    <s v="HL Mountain Frame - Black, 38"/>
    <s v="Components"/>
    <x v="11"/>
    <n v="14760"/>
    <s v="NULL"/>
    <x v="0"/>
    <x v="0"/>
  </r>
  <r>
    <s v="HL Mountain Frame - Silver, 46"/>
    <s v="Components"/>
    <x v="11"/>
    <n v="14624"/>
    <s v="NULL"/>
    <x v="0"/>
    <x v="0"/>
  </r>
  <r>
    <s v="ML Mountain Frame - Black, 44"/>
    <s v="Components"/>
    <x v="11"/>
    <n v="14507"/>
    <s v="NULL"/>
    <x v="0"/>
    <x v="0"/>
  </r>
  <r>
    <s v="HL Mountain Frame - Black, 48"/>
    <s v="Components"/>
    <x v="11"/>
    <n v="14497"/>
    <s v="NULL"/>
    <x v="0"/>
    <x v="0"/>
  </r>
  <r>
    <s v="ML Road Tire"/>
    <s v="Accessories"/>
    <x v="10"/>
    <n v="14486"/>
    <s v="NULL"/>
    <x v="0"/>
    <x v="0"/>
  </r>
  <r>
    <s v="Men's Bib-Shorts, S"/>
    <s v="Clothing"/>
    <x v="15"/>
    <n v="14191"/>
    <s v="NULL"/>
    <x v="0"/>
    <x v="0"/>
  </r>
  <r>
    <s v="LL Road Tire"/>
    <s v="Accessories"/>
    <x v="10"/>
    <n v="14045"/>
    <s v="NULL"/>
    <x v="0"/>
    <x v="0"/>
  </r>
  <r>
    <s v="LL Mountain Tire"/>
    <s v="Accessories"/>
    <x v="10"/>
    <n v="13485"/>
    <s v="NULL"/>
    <x v="0"/>
    <x v="0"/>
  </r>
  <r>
    <s v="Men's Sports Shorts, M"/>
    <s v="Clothing"/>
    <x v="8"/>
    <n v="12896"/>
    <s v="NULL"/>
    <x v="0"/>
    <x v="0"/>
  </r>
  <r>
    <s v="Mountain Bottle Cage"/>
    <s v="Accessories"/>
    <x v="18"/>
    <n v="12664"/>
    <s v="NULL"/>
    <x v="0"/>
    <x v="0"/>
  </r>
  <r>
    <s v="Front Brakes"/>
    <s v="Components"/>
    <x v="19"/>
    <n v="12527"/>
    <s v="NULL"/>
    <x v="0"/>
    <x v="0"/>
  </r>
  <r>
    <s v="Touring-3000 Blue, 44"/>
    <s v="Bikes"/>
    <x v="2"/>
    <n v="12290"/>
    <s v="NULL"/>
    <x v="0"/>
    <x v="0"/>
  </r>
  <r>
    <s v="ML Mountain Frame - Black, 38"/>
    <s v="Components"/>
    <x v="11"/>
    <n v="12046"/>
    <s v="NULL"/>
    <x v="0"/>
    <x v="0"/>
  </r>
  <r>
    <s v="ML Mountain Frame-W - Silver, 42"/>
    <s v="Components"/>
    <x v="11"/>
    <n v="11962"/>
    <s v="NULL"/>
    <x v="0"/>
    <x v="0"/>
  </r>
  <r>
    <s v="LL Crankset"/>
    <s v="Components"/>
    <x v="7"/>
    <n v="11662"/>
    <s v="NULL"/>
    <x v="0"/>
    <x v="0"/>
  </r>
  <r>
    <s v="Touring-3000 Blue, 58"/>
    <s v="Bikes"/>
    <x v="2"/>
    <n v="11249"/>
    <s v="NULL"/>
    <x v="0"/>
    <x v="0"/>
  </r>
  <r>
    <s v="Half-Finger Gloves, L"/>
    <s v="Clothing"/>
    <x v="16"/>
    <n v="11173"/>
    <s v="NULL"/>
    <x v="0"/>
    <x v="0"/>
  </r>
  <r>
    <s v="ML Mountain Handlebars"/>
    <s v="Components"/>
    <x v="20"/>
    <n v="11169"/>
    <s v="NULL"/>
    <x v="0"/>
    <x v="0"/>
  </r>
  <r>
    <s v="Front Derailleur"/>
    <s v="Components"/>
    <x v="21"/>
    <n v="10890"/>
    <s v="NULL"/>
    <x v="0"/>
    <x v="0"/>
  </r>
  <r>
    <s v="Men's Bib-Shorts, L"/>
    <s v="Clothing"/>
    <x v="15"/>
    <n v="10681"/>
    <s v="NULL"/>
    <x v="0"/>
    <x v="0"/>
  </r>
  <r>
    <s v="Hitch Rack - 4-Bike"/>
    <s v="Accessories"/>
    <x v="3"/>
    <n v="10661"/>
    <s v="16.76:1"/>
    <x v="1"/>
    <x v="1"/>
  </r>
  <r>
    <s v="Classic Vest, S"/>
    <s v="Clothing"/>
    <x v="9"/>
    <n v="10653"/>
    <s v="16.76:1"/>
    <x v="1"/>
    <x v="1"/>
  </r>
  <r>
    <s v="Touring-3000 Yellow, 58"/>
    <s v="Bikes"/>
    <x v="2"/>
    <n v="10605"/>
    <s v="NULL"/>
    <x v="0"/>
    <x v="0"/>
  </r>
  <r>
    <s v="HL Mountain Frame - Silver, 42"/>
    <s v="Components"/>
    <x v="11"/>
    <n v="10596"/>
    <s v="NULL"/>
    <x v="0"/>
    <x v="0"/>
  </r>
  <r>
    <s v="HL Mountain Front Wheel"/>
    <s v="Components"/>
    <x v="6"/>
    <n v="10397"/>
    <s v="NULL"/>
    <x v="0"/>
    <x v="0"/>
  </r>
  <r>
    <s v="HL Bottom Bracket"/>
    <s v="Components"/>
    <x v="22"/>
    <n v="10291"/>
    <s v="NULL"/>
    <x v="0"/>
    <x v="0"/>
  </r>
  <r>
    <s v="Classic Vest, S"/>
    <s v="Clothing"/>
    <x v="9"/>
    <n v="10156"/>
    <s v="5.4:1"/>
    <x v="1"/>
    <x v="1"/>
  </r>
  <r>
    <s v="Full-Finger Gloves, L"/>
    <s v="Clothing"/>
    <x v="16"/>
    <n v="9855"/>
    <s v="NULL"/>
    <x v="0"/>
    <x v="0"/>
  </r>
  <r>
    <s v="HL Road Handlebars"/>
    <s v="Components"/>
    <x v="20"/>
    <n v="9700"/>
    <s v="NULL"/>
    <x v="0"/>
    <x v="0"/>
  </r>
  <r>
    <s v="Mountain Tire Tube"/>
    <s v="Accessories"/>
    <x v="10"/>
    <n v="9668"/>
    <s v="NULL"/>
    <x v="0"/>
    <x v="0"/>
  </r>
  <r>
    <s v="Road Bottle Cage"/>
    <s v="Accessories"/>
    <x v="18"/>
    <n v="9635"/>
    <s v="NULL"/>
    <x v="0"/>
    <x v="0"/>
  </r>
  <r>
    <s v="Touring-3000 Yellow, 50"/>
    <s v="Bikes"/>
    <x v="2"/>
    <n v="9630"/>
    <s v="NULL"/>
    <x v="0"/>
    <x v="0"/>
  </r>
  <r>
    <s v="LL Road Frame - Red, 60"/>
    <s v="Components"/>
    <x v="23"/>
    <n v="9525"/>
    <s v="NULL"/>
    <x v="0"/>
    <x v="0"/>
  </r>
  <r>
    <s v="Full-Finger Gloves, M"/>
    <s v="Clothing"/>
    <x v="16"/>
    <n v="9498"/>
    <s v="NULL"/>
    <x v="0"/>
    <x v="0"/>
  </r>
  <r>
    <s v="HL Mountain Pedal"/>
    <s v="Components"/>
    <x v="24"/>
    <n v="9286"/>
    <s v="NULL"/>
    <x v="0"/>
    <x v="0"/>
  </r>
  <r>
    <s v="LL Road Frame - Red, 44"/>
    <s v="Components"/>
    <x v="23"/>
    <n v="9116"/>
    <s v="NULL"/>
    <x v="0"/>
    <x v="0"/>
  </r>
  <r>
    <s v="Touring-3000 Yellow, 54"/>
    <s v="Bikes"/>
    <x v="2"/>
    <n v="8897"/>
    <s v="NULL"/>
    <x v="0"/>
    <x v="0"/>
  </r>
  <r>
    <s v="ML Mountain Front Wheel"/>
    <s v="Components"/>
    <x v="6"/>
    <n v="8674"/>
    <s v="NULL"/>
    <x v="0"/>
    <x v="0"/>
  </r>
  <r>
    <s v="ML Headset"/>
    <s v="Components"/>
    <x v="25"/>
    <n v="8633"/>
    <s v="NULL"/>
    <x v="0"/>
    <x v="0"/>
  </r>
  <r>
    <s v="HL Road Pedal"/>
    <s v="Components"/>
    <x v="24"/>
    <n v="8541"/>
    <s v="NULL"/>
    <x v="0"/>
    <x v="0"/>
  </r>
  <r>
    <s v="Touring-3000 Blue, 54"/>
    <s v="Bikes"/>
    <x v="2"/>
    <n v="8491"/>
    <s v="NULL"/>
    <x v="0"/>
    <x v="0"/>
  </r>
  <r>
    <s v="Touring-3000 Yellow, 44"/>
    <s v="Bikes"/>
    <x v="2"/>
    <n v="8171"/>
    <s v="NULL"/>
    <x v="0"/>
    <x v="0"/>
  </r>
  <r>
    <s v="LL Mountain Frame - Black, 44"/>
    <s v="Components"/>
    <x v="11"/>
    <n v="8037"/>
    <s v="NULL"/>
    <x v="0"/>
    <x v="0"/>
  </r>
  <r>
    <s v="LL Mountain Frame - Silver, 42"/>
    <s v="Components"/>
    <x v="11"/>
    <n v="7983"/>
    <s v="NULL"/>
    <x v="0"/>
    <x v="0"/>
  </r>
  <r>
    <s v="Classic Vest, L"/>
    <s v="Clothing"/>
    <x v="9"/>
    <n v="7924"/>
    <s v="NULL"/>
    <x v="0"/>
    <x v="0"/>
  </r>
  <r>
    <s v="HL Mountain Handlebars"/>
    <s v="Components"/>
    <x v="20"/>
    <n v="7675"/>
    <s v="NULL"/>
    <x v="0"/>
    <x v="0"/>
  </r>
  <r>
    <s v="Bike Wash - Dissolver"/>
    <s v="Accessories"/>
    <x v="26"/>
    <n v="7465"/>
    <s v="NULL"/>
    <x v="0"/>
    <x v="0"/>
  </r>
  <r>
    <s v="Hitch Rack - 4-Bike"/>
    <s v="Accessories"/>
    <x v="3"/>
    <n v="7360"/>
    <s v="5.4:1"/>
    <x v="1"/>
    <x v="1"/>
  </r>
  <r>
    <s v="Women's Mountain Shorts, S"/>
    <s v="Clothing"/>
    <x v="8"/>
    <n v="7307"/>
    <s v="5.4:1"/>
    <x v="1"/>
    <x v="1"/>
  </r>
  <r>
    <s v="Women's Mountain Shorts, L"/>
    <s v="Clothing"/>
    <x v="8"/>
    <n v="6860"/>
    <s v="5.4:1"/>
    <x v="1"/>
    <x v="1"/>
  </r>
  <r>
    <s v="Women's Mountain Shorts, S"/>
    <s v="Clothing"/>
    <x v="8"/>
    <n v="6803"/>
    <s v="16.76:1"/>
    <x v="1"/>
    <x v="1"/>
  </r>
  <r>
    <s v="LL Road Frame - Red, 62"/>
    <s v="Components"/>
    <x v="23"/>
    <n v="6715"/>
    <s v="NULL"/>
    <x v="0"/>
    <x v="0"/>
  </r>
  <r>
    <s v="Rear Derailleur"/>
    <s v="Components"/>
    <x v="21"/>
    <n v="6689"/>
    <s v="NULL"/>
    <x v="0"/>
    <x v="0"/>
  </r>
  <r>
    <s v="LL Road Frame - Red, 48"/>
    <s v="Components"/>
    <x v="23"/>
    <n v="6543"/>
    <s v="NULL"/>
    <x v="0"/>
    <x v="0"/>
  </r>
  <r>
    <s v="ML Road Pedal"/>
    <s v="Components"/>
    <x v="24"/>
    <n v="6402"/>
    <s v="NULL"/>
    <x v="0"/>
    <x v="0"/>
  </r>
  <r>
    <s v="Women's Mountain Shorts, L"/>
    <s v="Clothing"/>
    <x v="8"/>
    <n v="6368"/>
    <s v="16.76:1"/>
    <x v="1"/>
    <x v="1"/>
  </r>
  <r>
    <s v="Men's Sports Shorts, S"/>
    <s v="Clothing"/>
    <x v="8"/>
    <n v="6119"/>
    <s v="NULL"/>
    <x v="0"/>
    <x v="0"/>
  </r>
  <r>
    <s v="LL Mountain Frame - Silver, 40"/>
    <s v="Components"/>
    <x v="11"/>
    <n v="5963"/>
    <s v="NULL"/>
    <x v="0"/>
    <x v="0"/>
  </r>
  <r>
    <s v="Road Tire Tube"/>
    <s v="Accessories"/>
    <x v="10"/>
    <n v="5935"/>
    <s v="NULL"/>
    <x v="0"/>
    <x v="0"/>
  </r>
  <r>
    <s v="LL Mountain Frame - Silver, 52"/>
    <s v="Components"/>
    <x v="11"/>
    <n v="5880"/>
    <s v="NULL"/>
    <x v="0"/>
    <x v="0"/>
  </r>
  <r>
    <s v="LL Mountain Front Wheel"/>
    <s v="Components"/>
    <x v="6"/>
    <n v="5724"/>
    <s v="NULL"/>
    <x v="0"/>
    <x v="0"/>
  </r>
  <r>
    <s v="Touring-3000 Yellow, 62"/>
    <s v="Bikes"/>
    <x v="2"/>
    <n v="5675"/>
    <s v="NULL"/>
    <x v="0"/>
    <x v="0"/>
  </r>
  <r>
    <s v="Women's Tights, M"/>
    <s v="Clothing"/>
    <x v="14"/>
    <n v="5540"/>
    <s v="NULL"/>
    <x v="0"/>
    <x v="0"/>
  </r>
  <r>
    <s v="LL Mountain Frame - Black, 42"/>
    <s v="Components"/>
    <x v="11"/>
    <n v="5537"/>
    <s v="NULL"/>
    <x v="0"/>
    <x v="0"/>
  </r>
  <r>
    <s v="LL Road Pedal"/>
    <s v="Components"/>
    <x v="24"/>
    <n v="5483"/>
    <s v="NULL"/>
    <x v="0"/>
    <x v="0"/>
  </r>
  <r>
    <s v="HL Road Rear Wheel"/>
    <s v="Components"/>
    <x v="6"/>
    <n v="5336"/>
    <s v="NULL"/>
    <x v="0"/>
    <x v="0"/>
  </r>
  <r>
    <s v="Touring-3000 Blue, 50"/>
    <s v="Bikes"/>
    <x v="2"/>
    <n v="5258"/>
    <s v="NULL"/>
    <x v="0"/>
    <x v="0"/>
  </r>
  <r>
    <s v="LL Mountain Frame - Silver, 44"/>
    <s v="Components"/>
    <x v="11"/>
    <n v="5133"/>
    <s v="NULL"/>
    <x v="0"/>
    <x v="0"/>
  </r>
  <r>
    <s v="Short-Sleeve Classic Jersey, M"/>
    <s v="Clothing"/>
    <x v="27"/>
    <n v="5054"/>
    <s v="NULL"/>
    <x v="0"/>
    <x v="0"/>
  </r>
  <r>
    <s v="LL Mountain Frame - Black, 48"/>
    <s v="Components"/>
    <x v="11"/>
    <n v="5052"/>
    <s v="NULL"/>
    <x v="0"/>
    <x v="0"/>
  </r>
  <r>
    <s v="Men's Sports Shorts, L"/>
    <s v="Clothing"/>
    <x v="8"/>
    <n v="5005"/>
    <s v="NULL"/>
    <x v="0"/>
    <x v="0"/>
  </r>
  <r>
    <s v="HL Headset"/>
    <s v="Components"/>
    <x v="25"/>
    <n v="4962"/>
    <s v="NULL"/>
    <x v="0"/>
    <x v="0"/>
  </r>
  <r>
    <s v="Long-Sleeve Logo Jersey, S"/>
    <s v="Clothing"/>
    <x v="27"/>
    <n v="4933"/>
    <s v="NULL"/>
    <x v="0"/>
    <x v="0"/>
  </r>
  <r>
    <s v="Patch Kit/8 Patches"/>
    <s v="Accessories"/>
    <x v="10"/>
    <n v="4917"/>
    <s v="NULL"/>
    <x v="0"/>
    <x v="0"/>
  </r>
  <r>
    <s v="LL Mountain Handlebars"/>
    <s v="Components"/>
    <x v="20"/>
    <n v="4719"/>
    <s v="NULL"/>
    <x v="0"/>
    <x v="0"/>
  </r>
  <r>
    <s v="Cable Lock"/>
    <s v="Accessories"/>
    <x v="28"/>
    <n v="4711"/>
    <s v="NULL"/>
    <x v="0"/>
    <x v="0"/>
  </r>
  <r>
    <s v="LL Mountain Rear Wheel"/>
    <s v="Components"/>
    <x v="6"/>
    <n v="4681"/>
    <s v="NULL"/>
    <x v="0"/>
    <x v="0"/>
  </r>
  <r>
    <s v="Classic Vest, M"/>
    <s v="Clothing"/>
    <x v="9"/>
    <n v="4654"/>
    <s v="16.76:1"/>
    <x v="1"/>
    <x v="1"/>
  </r>
  <r>
    <s v="Touring Tire Tube"/>
    <s v="Accessories"/>
    <x v="10"/>
    <n v="4648"/>
    <s v="NULL"/>
    <x v="0"/>
    <x v="0"/>
  </r>
  <r>
    <s v="Hydration Pack - 70 oz."/>
    <s v="Accessories"/>
    <x v="5"/>
    <n v="4533"/>
    <s v="16.76:1"/>
    <x v="1"/>
    <x v="1"/>
  </r>
  <r>
    <s v="LL Fork"/>
    <s v="Components"/>
    <x v="17"/>
    <n v="4393"/>
    <s v="NULL"/>
    <x v="0"/>
    <x v="0"/>
  </r>
  <r>
    <s v="HL Mountain Seat/Saddle"/>
    <s v="Components"/>
    <x v="29"/>
    <n v="4262"/>
    <s v="NULL"/>
    <x v="0"/>
    <x v="0"/>
  </r>
  <r>
    <s v="Rear Brakes"/>
    <s v="Components"/>
    <x v="19"/>
    <n v="4087"/>
    <s v="NULL"/>
    <x v="0"/>
    <x v="0"/>
  </r>
  <r>
    <s v="Racing Socks, L"/>
    <s v="Clothing"/>
    <x v="30"/>
    <n v="4059"/>
    <s v="NULL"/>
    <x v="0"/>
    <x v="0"/>
  </r>
  <r>
    <s v="Racing Socks, M"/>
    <s v="Clothing"/>
    <x v="30"/>
    <n v="4007"/>
    <s v="NULL"/>
    <x v="0"/>
    <x v="0"/>
  </r>
  <r>
    <s v="Minipump"/>
    <s v="Accessories"/>
    <x v="31"/>
    <n v="4007"/>
    <s v="NULL"/>
    <x v="0"/>
    <x v="0"/>
  </r>
  <r>
    <s v="Sport-100 Helmet, Black"/>
    <s v="Accessories"/>
    <x v="4"/>
    <n v="3903"/>
    <s v="16.36:1"/>
    <x v="1"/>
    <x v="1"/>
  </r>
  <r>
    <s v="Sport-100 Helmet, Blue"/>
    <s v="Accessories"/>
    <x v="4"/>
    <n v="3805"/>
    <s v="16.32:1"/>
    <x v="1"/>
    <x v="1"/>
  </r>
  <r>
    <s v="ML Mountain Frame-W - Silver, 46"/>
    <s v="Components"/>
    <x v="11"/>
    <n v="3587"/>
    <s v="NULL"/>
    <x v="0"/>
    <x v="0"/>
  </r>
  <r>
    <s v="Full-Finger Gloves, S"/>
    <s v="Clothing"/>
    <x v="16"/>
    <n v="3575"/>
    <s v="NULL"/>
    <x v="0"/>
    <x v="0"/>
  </r>
  <r>
    <s v="HL Touring Seat/Saddle"/>
    <s v="Components"/>
    <x v="29"/>
    <n v="3498"/>
    <s v="NULL"/>
    <x v="0"/>
    <x v="0"/>
  </r>
  <r>
    <s v="Women's Tights, L"/>
    <s v="Clothing"/>
    <x v="14"/>
    <n v="3367"/>
    <s v="13.44:1"/>
    <x v="1"/>
    <x v="1"/>
  </r>
  <r>
    <s v="ML Mountain Pedal"/>
    <s v="Components"/>
    <x v="24"/>
    <n v="3342"/>
    <s v="NULL"/>
    <x v="0"/>
    <x v="0"/>
  </r>
  <r>
    <s v="Full-Finger Gloves, L"/>
    <s v="Clothing"/>
    <x v="16"/>
    <n v="3251"/>
    <s v="4:1"/>
    <x v="1"/>
    <x v="1"/>
  </r>
  <r>
    <s v="Road-650 Red, 58"/>
    <s v="Bikes"/>
    <x v="1"/>
    <n v="3228"/>
    <s v="NULL"/>
    <x v="0"/>
    <x v="0"/>
  </r>
  <r>
    <s v="LL Bottom Bracket"/>
    <s v="Components"/>
    <x v="22"/>
    <n v="3184"/>
    <s v="NULL"/>
    <x v="0"/>
    <x v="0"/>
  </r>
  <r>
    <s v="Women's Tights, S"/>
    <s v="Clothing"/>
    <x v="14"/>
    <n v="3168"/>
    <s v="13.44:1"/>
    <x v="1"/>
    <x v="1"/>
  </r>
  <r>
    <s v="HL Touring Handlebars"/>
    <s v="Components"/>
    <x v="20"/>
    <n v="3143"/>
    <s v="NULL"/>
    <x v="0"/>
    <x v="0"/>
  </r>
  <r>
    <s v="ML Mountain Seat/Saddle"/>
    <s v="Components"/>
    <x v="29"/>
    <n v="3047"/>
    <s v="NULL"/>
    <x v="0"/>
    <x v="0"/>
  </r>
  <r>
    <s v="Full-Finger Gloves, L"/>
    <s v="Clothing"/>
    <x v="16"/>
    <n v="2997"/>
    <s v="13.44:1"/>
    <x v="1"/>
    <x v="1"/>
  </r>
  <r>
    <s v="Sport-100 Helmet, Red"/>
    <s v="Accessories"/>
    <x v="4"/>
    <n v="2971"/>
    <s v="16.38:1"/>
    <x v="1"/>
    <x v="1"/>
  </r>
  <r>
    <s v="LL Mountain Pedal"/>
    <s v="Components"/>
    <x v="24"/>
    <n v="2836"/>
    <s v="NULL"/>
    <x v="0"/>
    <x v="0"/>
  </r>
  <r>
    <s v="ML Road Rear Wheel"/>
    <s v="Components"/>
    <x v="6"/>
    <n v="2749"/>
    <s v="NULL"/>
    <x v="0"/>
    <x v="0"/>
  </r>
  <r>
    <s v="ML Crankset"/>
    <s v="Components"/>
    <x v="7"/>
    <n v="2721"/>
    <s v="NULL"/>
    <x v="0"/>
    <x v="0"/>
  </r>
  <r>
    <s v="Road-550-W Yellow, 40"/>
    <s v="Bikes"/>
    <x v="1"/>
    <n v="2586"/>
    <s v="NULL"/>
    <x v="0"/>
    <x v="0"/>
  </r>
  <r>
    <s v="Women's Mountain Shorts, S"/>
    <s v="Clothing"/>
    <x v="8"/>
    <n v="2452"/>
    <s v="1.52:1"/>
    <x v="2"/>
    <x v="1"/>
  </r>
  <r>
    <s v="Chain"/>
    <s v="Components"/>
    <x v="32"/>
    <n v="2336"/>
    <s v="NULL"/>
    <x v="0"/>
    <x v="0"/>
  </r>
  <r>
    <s v="Women's Mountain Shorts, L"/>
    <s v="Clothing"/>
    <x v="8"/>
    <n v="2218"/>
    <s v="1.52:1"/>
    <x v="2"/>
    <x v="1"/>
  </r>
  <r>
    <s v="Full-Finger Gloves, M"/>
    <s v="Clothing"/>
    <x v="16"/>
    <n v="2174"/>
    <s v="13.44:1"/>
    <x v="1"/>
    <x v="1"/>
  </r>
  <r>
    <s v="Classic Vest, M"/>
    <s v="Clothing"/>
    <x v="9"/>
    <n v="2046"/>
    <s v="5.4:1"/>
    <x v="1"/>
    <x v="1"/>
  </r>
  <r>
    <s v="Men's Bib-Shorts, M"/>
    <s v="Clothing"/>
    <x v="15"/>
    <n v="1978"/>
    <s v="13.44:1"/>
    <x v="1"/>
    <x v="1"/>
  </r>
  <r>
    <s v="HL Mountain Rear Wheel"/>
    <s v="Components"/>
    <x v="6"/>
    <n v="1913"/>
    <s v="10.72:1"/>
    <x v="1"/>
    <x v="1"/>
  </r>
  <r>
    <s v="Full-Finger Gloves, M"/>
    <s v="Clothing"/>
    <x v="16"/>
    <n v="1889"/>
    <s v="4:1"/>
    <x v="1"/>
    <x v="1"/>
  </r>
  <r>
    <s v="HL Mountain Frame - Black, 44"/>
    <s v="Components"/>
    <x v="11"/>
    <n v="1881"/>
    <s v="NULL"/>
    <x v="0"/>
    <x v="0"/>
  </r>
  <r>
    <s v="Touring Pedal"/>
    <s v="Components"/>
    <x v="24"/>
    <n v="1857"/>
    <s v="NULL"/>
    <x v="0"/>
    <x v="0"/>
  </r>
  <r>
    <s v="Half-Finger Gloves, M"/>
    <s v="Clothing"/>
    <x v="16"/>
    <n v="1818"/>
    <s v="16.64:1"/>
    <x v="1"/>
    <x v="1"/>
  </r>
  <r>
    <s v="Mountain Bike Socks, M"/>
    <s v="Clothing"/>
    <x v="30"/>
    <n v="1712"/>
    <s v="NULL"/>
    <x v="0"/>
    <x v="0"/>
  </r>
  <r>
    <s v="ML Mountain Rear Wheel"/>
    <s v="Components"/>
    <x v="6"/>
    <n v="1674"/>
    <s v="10.72:1"/>
    <x v="1"/>
    <x v="1"/>
  </r>
  <r>
    <s v="ML Mountain Frame - Black, 40"/>
    <s v="Components"/>
    <x v="11"/>
    <n v="1594"/>
    <s v="NULL"/>
    <x v="0"/>
    <x v="0"/>
  </r>
  <r>
    <s v="LL Mountain Seat/Saddle"/>
    <s v="Components"/>
    <x v="29"/>
    <n v="1422"/>
    <s v="NULL"/>
    <x v="0"/>
    <x v="0"/>
  </r>
  <r>
    <s v="Women's Tights, S"/>
    <s v="Clothing"/>
    <x v="14"/>
    <n v="1419"/>
    <s v="4:1"/>
    <x v="1"/>
    <x v="1"/>
  </r>
  <r>
    <s v="LL Road Frame - Red, 52"/>
    <s v="Components"/>
    <x v="23"/>
    <n v="1389"/>
    <s v="NULL"/>
    <x v="0"/>
    <x v="0"/>
  </r>
  <r>
    <s v="Classic Vest, S"/>
    <s v="Clothing"/>
    <x v="9"/>
    <n v="1342"/>
    <s v="1.52:1"/>
    <x v="2"/>
    <x v="1"/>
  </r>
  <r>
    <s v="HL Crankset"/>
    <s v="Components"/>
    <x v="7"/>
    <n v="1310"/>
    <s v="10.72:1"/>
    <x v="1"/>
    <x v="1"/>
  </r>
  <r>
    <s v="Hydration Pack - 70 oz."/>
    <s v="Accessories"/>
    <x v="5"/>
    <n v="1258"/>
    <s v="5.4:1"/>
    <x v="1"/>
    <x v="1"/>
  </r>
  <r>
    <s v="Mountain-200 Black, 38"/>
    <s v="Bikes"/>
    <x v="0"/>
    <n v="1231"/>
    <s v="0.49:1"/>
    <x v="1"/>
    <x v="1"/>
  </r>
  <r>
    <s v="LL Road Handlebars"/>
    <s v="Components"/>
    <x v="20"/>
    <n v="1210"/>
    <s v="NULL"/>
    <x v="0"/>
    <x v="0"/>
  </r>
  <r>
    <s v="Sport-100 Helmet, Blue"/>
    <s v="Accessories"/>
    <x v="4"/>
    <n v="1205"/>
    <s v="5.22:1"/>
    <x v="1"/>
    <x v="1"/>
  </r>
  <r>
    <s v="ML Road Frame - Red, 48"/>
    <s v="Components"/>
    <x v="23"/>
    <n v="1190"/>
    <s v="NULL"/>
    <x v="0"/>
    <x v="0"/>
  </r>
  <r>
    <s v="Women's Tights, L"/>
    <s v="Clothing"/>
    <x v="14"/>
    <n v="1122"/>
    <s v="4:1"/>
    <x v="1"/>
    <x v="1"/>
  </r>
  <r>
    <s v="HL Road Seat/Saddle"/>
    <s v="Components"/>
    <x v="29"/>
    <n v="1100"/>
    <s v="NULL"/>
    <x v="0"/>
    <x v="0"/>
  </r>
  <r>
    <s v="ML Headset"/>
    <s v="Components"/>
    <x v="25"/>
    <n v="1082"/>
    <s v="10.72:1"/>
    <x v="1"/>
    <x v="1"/>
  </r>
  <r>
    <s v="Men's Bib-Shorts, M"/>
    <s v="Clothing"/>
    <x v="15"/>
    <n v="1039"/>
    <s v="4:1"/>
    <x v="1"/>
    <x v="1"/>
  </r>
  <r>
    <s v="Full-Finger Gloves, L"/>
    <s v="Clothing"/>
    <x v="16"/>
    <n v="954"/>
    <s v="0.75:1"/>
    <x v="2"/>
    <x v="1"/>
  </r>
  <r>
    <s v="Sport-100 Helmet, Black"/>
    <s v="Accessories"/>
    <x v="4"/>
    <n v="949"/>
    <s v="5.21:1"/>
    <x v="1"/>
    <x v="1"/>
  </r>
  <r>
    <s v="Mountain-200 Silver, 38"/>
    <s v="Bikes"/>
    <x v="0"/>
    <n v="927"/>
    <s v="0.33:1"/>
    <x v="1"/>
    <x v="1"/>
  </r>
  <r>
    <s v="Men's Sports Shorts, M"/>
    <s v="Clothing"/>
    <x v="8"/>
    <n v="898"/>
    <s v="13.44:1"/>
    <x v="1"/>
    <x v="1"/>
  </r>
  <r>
    <s v="Bike Wash - Dissolver"/>
    <s v="Accessories"/>
    <x v="26"/>
    <n v="751"/>
    <s v="16.76:1"/>
    <x v="1"/>
    <x v="1"/>
  </r>
  <r>
    <s v="Racing Socks, L"/>
    <s v="Clothing"/>
    <x v="30"/>
    <n v="737"/>
    <s v="16.76:1"/>
    <x v="1"/>
    <x v="1"/>
  </r>
  <r>
    <s v="Mountain-100 Black, 38"/>
    <s v="Bikes"/>
    <x v="0"/>
    <n v="729"/>
    <s v="0.52:1"/>
    <x v="1"/>
    <x v="1"/>
  </r>
  <r>
    <s v="Half-Finger Gloves, S"/>
    <s v="Clothing"/>
    <x v="16"/>
    <n v="722"/>
    <s v="16.66:1"/>
    <x v="1"/>
    <x v="1"/>
  </r>
  <r>
    <s v="Half-Finger Gloves, M"/>
    <s v="Clothing"/>
    <x v="16"/>
    <n v="652"/>
    <s v="5.3:1"/>
    <x v="1"/>
    <x v="1"/>
  </r>
  <r>
    <s v="Racing Socks, L"/>
    <s v="Clothing"/>
    <x v="30"/>
    <n v="635"/>
    <s v="5.4:1"/>
    <x v="1"/>
    <x v="1"/>
  </r>
  <r>
    <s v="LL Mountain Frame - Silver, 48"/>
    <s v="Components"/>
    <x v="11"/>
    <n v="609"/>
    <s v="NULL"/>
    <x v="0"/>
    <x v="0"/>
  </r>
  <r>
    <s v="Sport-100 Helmet, Red"/>
    <s v="Accessories"/>
    <x v="4"/>
    <n v="595"/>
    <s v="5.16:1"/>
    <x v="1"/>
    <x v="1"/>
  </r>
  <r>
    <s v="Front Derailleur"/>
    <s v="Components"/>
    <x v="21"/>
    <n v="569"/>
    <s v="10.72:1"/>
    <x v="1"/>
    <x v="1"/>
  </r>
  <r>
    <s v="Mountain-300 Black, 40"/>
    <s v="Bikes"/>
    <x v="0"/>
    <n v="540"/>
    <s v="1.23:1"/>
    <x v="1"/>
    <x v="1"/>
  </r>
  <r>
    <s v="Hitch Rack - 4-Bike"/>
    <s v="Accessories"/>
    <x v="3"/>
    <n v="520"/>
    <s v="1.52:1"/>
    <x v="2"/>
    <x v="1"/>
  </r>
  <r>
    <s v="ML Touring Seat/Saddle"/>
    <s v="Components"/>
    <x v="29"/>
    <n v="513"/>
    <s v="NULL"/>
    <x v="0"/>
    <x v="0"/>
  </r>
  <r>
    <s v="LL Headset"/>
    <s v="Components"/>
    <x v="25"/>
    <n v="507"/>
    <s v="NULL"/>
    <x v="0"/>
    <x v="0"/>
  </r>
  <r>
    <s v="Men's Bib-Shorts, S"/>
    <s v="Clothing"/>
    <x v="15"/>
    <n v="505"/>
    <s v="13.44:1"/>
    <x v="1"/>
    <x v="1"/>
  </r>
  <r>
    <s v="HL Mountain Pedal"/>
    <s v="Components"/>
    <x v="24"/>
    <n v="504"/>
    <s v="10.73:1"/>
    <x v="1"/>
    <x v="1"/>
  </r>
  <r>
    <s v="ML Mountain Frame - Black, 48"/>
    <s v="Components"/>
    <x v="11"/>
    <n v="497"/>
    <s v="3.07:1"/>
    <x v="1"/>
    <x v="1"/>
  </r>
  <r>
    <s v="Mountain-100 Silver, 44"/>
    <s v="Bikes"/>
    <x v="0"/>
    <n v="490"/>
    <s v="0.52:1"/>
    <x v="1"/>
    <x v="1"/>
  </r>
  <r>
    <s v="Mountain-100 Black, 44"/>
    <s v="Bikes"/>
    <x v="0"/>
    <n v="466"/>
    <s v="0.52:1"/>
    <x v="1"/>
    <x v="1"/>
  </r>
  <r>
    <s v="Front Brakes"/>
    <s v="Components"/>
    <x v="19"/>
    <n v="464"/>
    <s v="10.72:1"/>
    <x v="1"/>
    <x v="1"/>
  </r>
  <r>
    <s v="ML Road Frame - Red, 52"/>
    <s v="Components"/>
    <x v="23"/>
    <n v="428"/>
    <s v="NULL"/>
    <x v="0"/>
    <x v="0"/>
  </r>
  <r>
    <s v="Water Bottle - 30 oz."/>
    <s v="Accessories"/>
    <x v="18"/>
    <n v="409"/>
    <s v="16.76:1"/>
    <x v="1"/>
    <x v="1"/>
  </r>
  <r>
    <s v="Mountain-200 Black, 42"/>
    <s v="Bikes"/>
    <x v="0"/>
    <n v="407"/>
    <s v="0.23:1"/>
    <x v="1"/>
    <x v="1"/>
  </r>
  <r>
    <s v="Mountain-400-W Silver, 40"/>
    <s v="Bikes"/>
    <x v="0"/>
    <n v="405"/>
    <s v="1.97:1"/>
    <x v="1"/>
    <x v="1"/>
  </r>
  <r>
    <s v="LL Touring Handlebars"/>
    <s v="Components"/>
    <x v="20"/>
    <n v="403"/>
    <s v="NULL"/>
    <x v="0"/>
    <x v="0"/>
  </r>
  <r>
    <s v="HL Fork"/>
    <s v="Components"/>
    <x v="17"/>
    <n v="400"/>
    <s v="10.72:1"/>
    <x v="1"/>
    <x v="1"/>
  </r>
  <r>
    <s v="LL Touring Seat/Saddle"/>
    <s v="Components"/>
    <x v="29"/>
    <n v="385"/>
    <s v="NULL"/>
    <x v="0"/>
    <x v="0"/>
  </r>
  <r>
    <s v="HL Mountain Rear Wheel"/>
    <s v="Components"/>
    <x v="6"/>
    <n v="385"/>
    <s v="2.85:1"/>
    <x v="1"/>
    <x v="1"/>
  </r>
  <r>
    <s v="ML Mountain Frame-W - Silver, 40"/>
    <s v="Components"/>
    <x v="11"/>
    <n v="371"/>
    <s v="1.79:1"/>
    <x v="1"/>
    <x v="1"/>
  </r>
  <r>
    <s v="Sport-100 Helmet, Blue"/>
    <s v="Accessories"/>
    <x v="4"/>
    <n v="363"/>
    <s v="1.22:1"/>
    <x v="2"/>
    <x v="1"/>
  </r>
  <r>
    <s v="Mountain-300 Black, 38"/>
    <s v="Bikes"/>
    <x v="0"/>
    <n v="339"/>
    <s v="1.23:1"/>
    <x v="1"/>
    <x v="1"/>
  </r>
  <r>
    <s v="LL Mountain Frame - Silver, 42"/>
    <s v="Components"/>
    <x v="11"/>
    <n v="335"/>
    <s v="1.79:1"/>
    <x v="1"/>
    <x v="1"/>
  </r>
  <r>
    <s v="ML Mountain Rear Wheel"/>
    <s v="Components"/>
    <x v="6"/>
    <n v="334"/>
    <s v="2.85:1"/>
    <x v="1"/>
    <x v="1"/>
  </r>
  <r>
    <s v="Sport-100 Helmet, Red"/>
    <s v="Accessories"/>
    <x v="4"/>
    <n v="333"/>
    <s v="1.22:1"/>
    <x v="2"/>
    <x v="1"/>
  </r>
  <r>
    <s v="Cable Lock"/>
    <s v="Accessories"/>
    <x v="28"/>
    <n v="320"/>
    <s v="13.44:1"/>
    <x v="1"/>
    <x v="1"/>
  </r>
  <r>
    <s v="Sport-100 Helmet, Black"/>
    <s v="Accessories"/>
    <x v="4"/>
    <n v="314"/>
    <s v="1.22:1"/>
    <x v="2"/>
    <x v="1"/>
  </r>
  <r>
    <s v="HL Mountain Frame - Silver, 38"/>
    <s v="Components"/>
    <x v="11"/>
    <n v="312"/>
    <s v="1.79:1"/>
    <x v="1"/>
    <x v="1"/>
  </r>
  <r>
    <s v="ML Mountain Handlebars"/>
    <s v="Components"/>
    <x v="20"/>
    <n v="308"/>
    <s v="8.98:1"/>
    <x v="1"/>
    <x v="1"/>
  </r>
  <r>
    <s v="Bike Wash - Dissolver"/>
    <s v="Accessories"/>
    <x v="26"/>
    <n v="307"/>
    <s v="5.4:1"/>
    <x v="1"/>
    <x v="1"/>
  </r>
  <r>
    <s v="HL Touring Frame - Blue, 54"/>
    <s v="Components"/>
    <x v="33"/>
    <n v="306"/>
    <s v="NULL"/>
    <x v="0"/>
    <x v="0"/>
  </r>
  <r>
    <s v="HL Touring Frame - Yellow, 54"/>
    <s v="Components"/>
    <x v="33"/>
    <n v="287"/>
    <s v="NULL"/>
    <x v="0"/>
    <x v="0"/>
  </r>
  <r>
    <s v="Mountain-100 Silver, 42"/>
    <s v="Bikes"/>
    <x v="0"/>
    <n v="286"/>
    <s v="0.52:1"/>
    <x v="1"/>
    <x v="1"/>
  </r>
  <r>
    <s v="Mountain Bike Socks, M"/>
    <s v="Clothing"/>
    <x v="30"/>
    <n v="270"/>
    <s v="6:1"/>
    <x v="1"/>
    <x v="1"/>
  </r>
  <r>
    <s v="Mountain Bike Socks, M"/>
    <s v="Clothing"/>
    <x v="30"/>
    <n v="268"/>
    <s v="18.18:1"/>
    <x v="1"/>
    <x v="1"/>
  </r>
  <r>
    <s v="ML Headset"/>
    <s v="Components"/>
    <x v="25"/>
    <n v="265"/>
    <s v="2.85:1"/>
    <x v="1"/>
    <x v="1"/>
  </r>
  <r>
    <s v="Water Bottle - 30 oz."/>
    <s v="Accessories"/>
    <x v="18"/>
    <n v="259"/>
    <s v="5.4:1"/>
    <x v="1"/>
    <x v="1"/>
  </r>
  <r>
    <s v="Mountain-100 Black, 42"/>
    <s v="Bikes"/>
    <x v="0"/>
    <n v="243"/>
    <s v="0.52:1"/>
    <x v="1"/>
    <x v="1"/>
  </r>
  <r>
    <s v="Men's Sports Shorts, M"/>
    <s v="Clothing"/>
    <x v="8"/>
    <n v="224"/>
    <s v="4:1"/>
    <x v="1"/>
    <x v="1"/>
  </r>
  <r>
    <s v="HL Touring Frame - Yellow, 60"/>
    <s v="Components"/>
    <x v="33"/>
    <n v="219"/>
    <s v="NULL"/>
    <x v="0"/>
    <x v="0"/>
  </r>
  <r>
    <s v="Men's Sports Shorts, S"/>
    <s v="Clothing"/>
    <x v="8"/>
    <n v="215"/>
    <s v="13.44:1"/>
    <x v="1"/>
    <x v="1"/>
  </r>
  <r>
    <s v="Mountain Bike Socks, L"/>
    <s v="Clothing"/>
    <x v="30"/>
    <n v="207"/>
    <s v="NULL"/>
    <x v="0"/>
    <x v="0"/>
  </r>
  <r>
    <s v="HL Touring Frame - Blue, 60"/>
    <s v="Components"/>
    <x v="33"/>
    <n v="206"/>
    <s v="NULL"/>
    <x v="0"/>
    <x v="0"/>
  </r>
  <r>
    <s v="Mountain-300 Black, 48"/>
    <s v="Bikes"/>
    <x v="0"/>
    <n v="201"/>
    <s v="1.23:1"/>
    <x v="1"/>
    <x v="1"/>
  </r>
  <r>
    <s v="LL Mountain Frame - Black, 52"/>
    <s v="Components"/>
    <x v="11"/>
    <n v="196"/>
    <s v="NULL"/>
    <x v="0"/>
    <x v="0"/>
  </r>
  <r>
    <s v="Mountain-400-W Silver, 46"/>
    <s v="Bikes"/>
    <x v="0"/>
    <n v="194"/>
    <s v="1.97:1"/>
    <x v="1"/>
    <x v="1"/>
  </r>
  <r>
    <s v="Minipump"/>
    <s v="Accessories"/>
    <x v="31"/>
    <n v="190"/>
    <s v="13.44:1"/>
    <x v="1"/>
    <x v="1"/>
  </r>
  <r>
    <s v="Racing Socks, M"/>
    <s v="Clothing"/>
    <x v="30"/>
    <n v="178"/>
    <s v="16.75:1"/>
    <x v="1"/>
    <x v="1"/>
  </r>
  <r>
    <s v="ML Mountain Seat/Saddle"/>
    <s v="Components"/>
    <x v="29"/>
    <n v="170"/>
    <s v="10.72:1"/>
    <x v="1"/>
    <x v="1"/>
  </r>
  <r>
    <s v="ML Mountain Frame-W - Silver, 38"/>
    <s v="Components"/>
    <x v="11"/>
    <n v="134"/>
    <s v="NULL"/>
    <x v="0"/>
    <x v="0"/>
  </r>
  <r>
    <s v="LL Mountain Handlebars"/>
    <s v="Components"/>
    <x v="20"/>
    <n v="127"/>
    <s v="10.73:1"/>
    <x v="1"/>
    <x v="1"/>
  </r>
  <r>
    <s v="LL Mountain Frame - Black, 40"/>
    <s v="Components"/>
    <x v="11"/>
    <n v="105"/>
    <s v="NULL"/>
    <x v="0"/>
    <x v="0"/>
  </r>
  <r>
    <s v="LL Road Frame - Red, 44"/>
    <s v="Components"/>
    <x v="23"/>
    <n v="104"/>
    <s v="1.16:1"/>
    <x v="1"/>
    <x v="1"/>
  </r>
  <r>
    <s v="LL Mountain Front Wheel"/>
    <s v="Components"/>
    <x v="6"/>
    <n v="98"/>
    <s v="10.72:1"/>
    <x v="1"/>
    <x v="1"/>
  </r>
  <r>
    <s v="Chain"/>
    <s v="Components"/>
    <x v="32"/>
    <n v="86"/>
    <s v="10.73:1"/>
    <x v="1"/>
    <x v="1"/>
  </r>
  <r>
    <s v="Full-Finger Gloves, M"/>
    <s v="Clothing"/>
    <x v="16"/>
    <n v="80"/>
    <s v="0.75:1"/>
    <x v="2"/>
    <x v="1"/>
  </r>
  <r>
    <s v="Women's Tights, S"/>
    <s v="Clothing"/>
    <x v="14"/>
    <n v="79"/>
    <s v="0.75:1"/>
    <x v="2"/>
    <x v="1"/>
  </r>
  <r>
    <s v="HL Touring Frame - Blue, 50"/>
    <s v="Components"/>
    <x v="33"/>
    <n v="75"/>
    <s v="NULL"/>
    <x v="0"/>
    <x v="0"/>
  </r>
  <r>
    <s v="Sport-100 Helmet, Blue"/>
    <s v="Accessories"/>
    <x v="4"/>
    <n v="70"/>
    <s v="0.13:1"/>
    <x v="2"/>
    <x v="1"/>
  </r>
  <r>
    <s v="HL Touring Frame - Blue, 46"/>
    <s v="Components"/>
    <x v="33"/>
    <n v="69"/>
    <s v="NULL"/>
    <x v="0"/>
    <x v="0"/>
  </r>
  <r>
    <s v="Sport-100 Helmet, Black"/>
    <s v="Accessories"/>
    <x v="4"/>
    <n v="67"/>
    <s v="0.13:1"/>
    <x v="2"/>
    <x v="1"/>
  </r>
  <r>
    <s v="LL Touring Frame - Yellow, 62"/>
    <s v="Components"/>
    <x v="33"/>
    <n v="66"/>
    <s v="NULL"/>
    <x v="0"/>
    <x v="0"/>
  </r>
  <r>
    <s v="Sport-100 Helmet, Red"/>
    <s v="Accessories"/>
    <x v="4"/>
    <n v="66"/>
    <s v="0.13:1"/>
    <x v="2"/>
    <x v="1"/>
  </r>
  <r>
    <s v="LL Touring Frame - Blue, 50"/>
    <s v="Components"/>
    <x v="33"/>
    <n v="63"/>
    <s v="NULL"/>
    <x v="0"/>
    <x v="0"/>
  </r>
  <r>
    <s v="LL Mountain Frame - Silver, 40"/>
    <s v="Components"/>
    <x v="11"/>
    <n v="60"/>
    <s v="1.79:1"/>
    <x v="1"/>
    <x v="1"/>
  </r>
  <r>
    <s v="LL Mountain Frame - Black, 44"/>
    <s v="Components"/>
    <x v="11"/>
    <n v="57"/>
    <s v="1.79:1"/>
    <x v="1"/>
    <x v="1"/>
  </r>
  <r>
    <s v="LL Touring Frame - Yellow, 44"/>
    <s v="Components"/>
    <x v="33"/>
    <n v="57"/>
    <s v="NULL"/>
    <x v="0"/>
    <x v="0"/>
  </r>
  <r>
    <s v="LL Mountain Handlebars"/>
    <s v="Components"/>
    <x v="20"/>
    <n v="56"/>
    <s v="2.85:1"/>
    <x v="1"/>
    <x v="1"/>
  </r>
  <r>
    <s v="Half-Finger Gloves, S"/>
    <s v="Clothing"/>
    <x v="16"/>
    <n v="55"/>
    <s v="5.4:1"/>
    <x v="1"/>
    <x v="1"/>
  </r>
  <r>
    <s v="HL Touring Frame - Yellow, 46"/>
    <s v="Components"/>
    <x v="33"/>
    <n v="52"/>
    <s v="NULL"/>
    <x v="0"/>
    <x v="0"/>
  </r>
  <r>
    <s v="Half-Finger Gloves, L"/>
    <s v="Clothing"/>
    <x v="16"/>
    <n v="52"/>
    <s v="16.78:1"/>
    <x v="1"/>
    <x v="1"/>
  </r>
  <r>
    <s v="Mountain Bike Socks, M"/>
    <s v="Clothing"/>
    <x v="30"/>
    <n v="51"/>
    <s v="1.85:1"/>
    <x v="2"/>
    <x v="1"/>
  </r>
  <r>
    <s v="LL Road Frame - Red, 62"/>
    <s v="Components"/>
    <x v="23"/>
    <n v="50"/>
    <s v="1.16:1"/>
    <x v="1"/>
    <x v="1"/>
  </r>
  <r>
    <s v="HL Touring Frame - Yellow, 50"/>
    <s v="Components"/>
    <x v="33"/>
    <n v="50"/>
    <s v="NULL"/>
    <x v="0"/>
    <x v="0"/>
  </r>
  <r>
    <s v="LL Touring Frame - Yellow, 50"/>
    <s v="Components"/>
    <x v="33"/>
    <n v="46"/>
    <s v="NULL"/>
    <x v="0"/>
    <x v="0"/>
  </r>
  <r>
    <s v="LL Road Seat/Saddle"/>
    <s v="Components"/>
    <x v="29"/>
    <n v="42"/>
    <s v="NULL"/>
    <x v="0"/>
    <x v="0"/>
  </r>
  <r>
    <s v="LL Touring Frame - Blue, 54"/>
    <s v="Components"/>
    <x v="33"/>
    <n v="42"/>
    <s v="NULL"/>
    <x v="0"/>
    <x v="0"/>
  </r>
  <r>
    <s v="Racing Socks, L"/>
    <s v="Clothing"/>
    <x v="30"/>
    <n v="38"/>
    <s v="1.52:1"/>
    <x v="2"/>
    <x v="1"/>
  </r>
  <r>
    <s v="LL Mountain Seat/Saddle"/>
    <s v="Components"/>
    <x v="29"/>
    <n v="37"/>
    <s v="10.73:1"/>
    <x v="1"/>
    <x v="1"/>
  </r>
  <r>
    <s v="Women's Mountain Shorts, L"/>
    <s v="Clothing"/>
    <x v="8"/>
    <n v="24"/>
    <s v="0.13:1"/>
    <x v="2"/>
    <x v="1"/>
  </r>
  <r>
    <s v="Bike Wash - Dissolver"/>
    <s v="Accessories"/>
    <x v="26"/>
    <n v="15"/>
    <s v="1.52:1"/>
    <x v="2"/>
    <x v="1"/>
  </r>
  <r>
    <s v="Water Bottle - 30 oz."/>
    <s v="Accessories"/>
    <x v="18"/>
    <n v="10"/>
    <s v="1.52:1"/>
    <x v="2"/>
    <x v="1"/>
  </r>
  <r>
    <s v="LL Touring Frame - Yellow, 58"/>
    <s v="Components"/>
    <x v="33"/>
    <n v="7"/>
    <s v="NULL"/>
    <x v="0"/>
    <x v="0"/>
  </r>
  <r>
    <s v="LL Touring Frame - Blue, 44"/>
    <s v="Components"/>
    <x v="33"/>
    <n v="5"/>
    <s v="NULL"/>
    <x v="0"/>
    <x v="0"/>
  </r>
  <r>
    <s v="Patch Kit/8 Patches"/>
    <s v="Accessories"/>
    <x v="10"/>
    <n v="5"/>
    <s v="16.69:1"/>
    <x v="1"/>
    <x v="1"/>
  </r>
  <r>
    <s v="LL Touring Frame - Blue, 62"/>
    <s v="Components"/>
    <x v="33"/>
    <n v="3"/>
    <s v="NULL"/>
    <x v="0"/>
    <x v="0"/>
  </r>
  <r>
    <s v="LL Touring Frame - Blue, 58"/>
    <s v="Components"/>
    <x v="33"/>
    <n v="1"/>
    <s v="NULL"/>
    <x v="0"/>
    <x v="0"/>
  </r>
  <r>
    <s v="Full-Finger Gloves, L"/>
    <s v="Clothing"/>
    <x v="16"/>
    <n v="-50"/>
    <s v="-0.44:1"/>
    <x v="2"/>
    <x v="2"/>
  </r>
  <r>
    <s v="LL Touring Frame - Yellow, 44"/>
    <s v="Components"/>
    <x v="33"/>
    <n v="-114"/>
    <s v="-2.67:1"/>
    <x v="1"/>
    <x v="2"/>
  </r>
  <r>
    <s v="AWC Logo Cap"/>
    <s v="Clothing"/>
    <x v="34"/>
    <n v="-153"/>
    <s v="-6.69:1"/>
    <x v="2"/>
    <x v="2"/>
  </r>
  <r>
    <s v="Mountain-200 Black, 46"/>
    <s v="Bikes"/>
    <x v="0"/>
    <n v="-275"/>
    <s v="-0.19:1"/>
    <x v="1"/>
    <x v="2"/>
  </r>
  <r>
    <s v="HL Touring Frame - Blue, 54"/>
    <s v="Components"/>
    <x v="33"/>
    <n v="-342"/>
    <s v="-2.67:1"/>
    <x v="1"/>
    <x v="2"/>
  </r>
  <r>
    <s v="HL Touring Frame - Blue, 60"/>
    <s v="Components"/>
    <x v="33"/>
    <n v="-342"/>
    <s v="-2.67:1"/>
    <x v="1"/>
    <x v="2"/>
  </r>
  <r>
    <s v="Short-Sleeve Classic Jersey, S"/>
    <s v="Clothing"/>
    <x v="27"/>
    <n v="-428"/>
    <s v="-9:1"/>
    <x v="1"/>
    <x v="2"/>
  </r>
  <r>
    <s v="Short-Sleeve Classic Jersey, XL"/>
    <s v="Clothing"/>
    <x v="27"/>
    <n v="-432"/>
    <s v="-6.4:1"/>
    <x v="2"/>
    <x v="2"/>
  </r>
  <r>
    <s v="Touring-3000 Blue, 50"/>
    <s v="Bikes"/>
    <x v="2"/>
    <n v="-434"/>
    <s v="-4.59:1"/>
    <x v="1"/>
    <x v="2"/>
  </r>
  <r>
    <s v="Road-650 Black, 60"/>
    <s v="Bikes"/>
    <x v="1"/>
    <n v="-458"/>
    <s v="-4.59:1"/>
    <x v="1"/>
    <x v="2"/>
  </r>
  <r>
    <s v="LL Touring Frame - Yellow, 62"/>
    <s v="Components"/>
    <x v="33"/>
    <n v="-487"/>
    <s v="-2.8:1"/>
    <x v="1"/>
    <x v="2"/>
  </r>
  <r>
    <s v="Road-650 Black, 44"/>
    <s v="Bikes"/>
    <x v="1"/>
    <n v="-500"/>
    <s v="-4.59:1"/>
    <x v="1"/>
    <x v="2"/>
  </r>
  <r>
    <s v="Long-Sleeve Logo Jersey, L"/>
    <s v="Clothing"/>
    <x v="27"/>
    <n v="-540"/>
    <s v="-7.02:1"/>
    <x v="2"/>
    <x v="2"/>
  </r>
  <r>
    <s v="Long-Sleeve Logo Jersey, M"/>
    <s v="Clothing"/>
    <x v="27"/>
    <n v="-594"/>
    <s v="-9:1"/>
    <x v="1"/>
    <x v="2"/>
  </r>
  <r>
    <s v="ML Road Frame-W - Yellow, 44"/>
    <s v="Components"/>
    <x v="23"/>
    <n v="-697"/>
    <s v="-8.54:1"/>
    <x v="1"/>
    <x v="2"/>
  </r>
  <r>
    <s v="Touring-2000 Blue, 46"/>
    <s v="Bikes"/>
    <x v="2"/>
    <n v="-711"/>
    <s v="-4.59:1"/>
    <x v="1"/>
    <x v="2"/>
  </r>
  <r>
    <s v="HL Touring Frame - Yellow, 60"/>
    <s v="Components"/>
    <x v="33"/>
    <n v="-716"/>
    <s v="-2.67:1"/>
    <x v="1"/>
    <x v="2"/>
  </r>
  <r>
    <s v="ML Road Frame-W - Yellow, 44"/>
    <s v="Components"/>
    <x v="23"/>
    <n v="-752"/>
    <s v="-3.07:1"/>
    <x v="1"/>
    <x v="2"/>
  </r>
  <r>
    <s v="LL Road Frame - Black, 52"/>
    <s v="Components"/>
    <x v="23"/>
    <n v="-761"/>
    <s v="-4.53:1"/>
    <x v="1"/>
    <x v="2"/>
  </r>
  <r>
    <s v="Mountain-200 Silver, 42"/>
    <s v="Bikes"/>
    <x v="0"/>
    <n v="-908"/>
    <s v="-0.84:1"/>
    <x v="1"/>
    <x v="2"/>
  </r>
  <r>
    <s v="Road-550-W Yellow, 40"/>
    <s v="Bikes"/>
    <x v="1"/>
    <n v="-914"/>
    <s v="-5.86:1"/>
    <x v="1"/>
    <x v="2"/>
  </r>
  <r>
    <s v="Road-650 Black, 62"/>
    <s v="Bikes"/>
    <x v="1"/>
    <n v="-1188"/>
    <s v="NULL"/>
    <x v="0"/>
    <x v="0"/>
  </r>
  <r>
    <s v="Mountain-200 Silver, 46"/>
    <s v="Bikes"/>
    <x v="0"/>
    <n v="-1266"/>
    <s v="-0.69:1"/>
    <x v="1"/>
    <x v="2"/>
  </r>
  <r>
    <s v="Mountain-200 Silver, 42"/>
    <s v="Bikes"/>
    <x v="0"/>
    <n v="-1337"/>
    <s v="-0.77:1"/>
    <x v="1"/>
    <x v="2"/>
  </r>
  <r>
    <s v="Touring-3000 Yellow, 62"/>
    <s v="Bikes"/>
    <x v="2"/>
    <n v="-1343"/>
    <s v="-4.59:1"/>
    <x v="1"/>
    <x v="2"/>
  </r>
  <r>
    <s v="Touring-3000 Yellow, 44"/>
    <s v="Bikes"/>
    <x v="2"/>
    <n v="-1382"/>
    <s v="-4.59:1"/>
    <x v="1"/>
    <x v="2"/>
  </r>
  <r>
    <s v="HL Touring Frame - Blue, 60"/>
    <s v="Components"/>
    <x v="33"/>
    <n v="-1390"/>
    <s v="-2.8:1"/>
    <x v="1"/>
    <x v="2"/>
  </r>
  <r>
    <s v="Road-450 Red, 58"/>
    <s v="Bikes"/>
    <x v="1"/>
    <n v="-1400"/>
    <s v="-3.31:1"/>
    <x v="1"/>
    <x v="2"/>
  </r>
  <r>
    <s v="Road-250 Red, 48"/>
    <s v="Bikes"/>
    <x v="1"/>
    <n v="-1430"/>
    <s v="-4.59:1"/>
    <x v="1"/>
    <x v="2"/>
  </r>
  <r>
    <s v="Long-Sleeve Logo Jersey, XL"/>
    <s v="Clothing"/>
    <x v="27"/>
    <n v="-1492"/>
    <s v="-19.15:1"/>
    <x v="1"/>
    <x v="2"/>
  </r>
  <r>
    <s v="Road-450 Red, 48"/>
    <s v="Bikes"/>
    <x v="1"/>
    <n v="-1547"/>
    <s v="NULL"/>
    <x v="0"/>
    <x v="0"/>
  </r>
  <r>
    <s v="LL Road Frame - Black, 60"/>
    <s v="Components"/>
    <x v="23"/>
    <n v="-1552"/>
    <s v="NULL"/>
    <x v="0"/>
    <x v="0"/>
  </r>
  <r>
    <s v="AWC Logo Cap"/>
    <s v="Clothing"/>
    <x v="34"/>
    <n v="-1597"/>
    <s v="-9.36:1"/>
    <x v="1"/>
    <x v="2"/>
  </r>
  <r>
    <s v="Road-650 Black, 58"/>
    <s v="Bikes"/>
    <x v="1"/>
    <n v="-1629"/>
    <s v="-3.6:1"/>
    <x v="1"/>
    <x v="2"/>
  </r>
  <r>
    <s v="AWC Logo Cap"/>
    <s v="Clothing"/>
    <x v="34"/>
    <n v="-1641"/>
    <s v="-18.38:1"/>
    <x v="1"/>
    <x v="2"/>
  </r>
  <r>
    <s v="Road-750 Black, 48"/>
    <s v="Bikes"/>
    <x v="1"/>
    <n v="-1652"/>
    <s v="-5.86:1"/>
    <x v="1"/>
    <x v="2"/>
  </r>
  <r>
    <s v="HL Touring Frame - Blue, 54"/>
    <s v="Components"/>
    <x v="33"/>
    <n v="-1776"/>
    <s v="-2.8:1"/>
    <x v="1"/>
    <x v="2"/>
  </r>
  <r>
    <s v="HL Touring Frame - Yellow, 54"/>
    <s v="Components"/>
    <x v="33"/>
    <n v="-1961"/>
    <s v="-2.67:1"/>
    <x v="1"/>
    <x v="2"/>
  </r>
  <r>
    <s v="Touring-2000 Blue, 60"/>
    <s v="Bikes"/>
    <x v="2"/>
    <n v="-2262"/>
    <s v="-4.59:1"/>
    <x v="1"/>
    <x v="2"/>
  </r>
  <r>
    <s v="Short-Sleeve Classic Jersey, S"/>
    <s v="Clothing"/>
    <x v="27"/>
    <n v="-2286"/>
    <s v="-17.38:1"/>
    <x v="1"/>
    <x v="2"/>
  </r>
  <r>
    <s v="Touring-3000 Blue, 50"/>
    <s v="Bikes"/>
    <x v="2"/>
    <n v="-2428"/>
    <s v="-3.6:1"/>
    <x v="1"/>
    <x v="2"/>
  </r>
  <r>
    <s v="Road-650 Black, 48"/>
    <s v="Bikes"/>
    <x v="1"/>
    <n v="-2492"/>
    <s v="NULL"/>
    <x v="0"/>
    <x v="0"/>
  </r>
  <r>
    <s v="Mountain-200 Black, 38"/>
    <s v="Bikes"/>
    <x v="0"/>
    <n v="-2537"/>
    <s v="-0.84:1"/>
    <x v="1"/>
    <x v="2"/>
  </r>
  <r>
    <s v="Road-650 Red, 62"/>
    <s v="Bikes"/>
    <x v="1"/>
    <n v="-2561"/>
    <s v="-3.6:1"/>
    <x v="1"/>
    <x v="2"/>
  </r>
  <r>
    <s v="Road-750 Black, 52"/>
    <s v="Bikes"/>
    <x v="1"/>
    <n v="-2607"/>
    <s v="-5.86:1"/>
    <x v="1"/>
    <x v="2"/>
  </r>
  <r>
    <s v="Road-350-W Yellow, 42"/>
    <s v="Bikes"/>
    <x v="1"/>
    <n v="-2776"/>
    <s v="-5.86:1"/>
    <x v="1"/>
    <x v="2"/>
  </r>
  <r>
    <s v="Road-350-W Yellow, 42"/>
    <s v="Bikes"/>
    <x v="1"/>
    <n v="-2906"/>
    <s v="-4.14:1"/>
    <x v="1"/>
    <x v="2"/>
  </r>
  <r>
    <s v="AWC Logo Cap"/>
    <s v="Clothing"/>
    <x v="34"/>
    <n v="-2910"/>
    <s v="NULL"/>
    <x v="0"/>
    <x v="0"/>
  </r>
  <r>
    <s v="Touring-1000 Yellow, 46"/>
    <s v="Bikes"/>
    <x v="2"/>
    <n v="-2917"/>
    <s v="-4.59:1"/>
    <x v="1"/>
    <x v="2"/>
  </r>
  <r>
    <s v="Road-550-W Yellow, 48"/>
    <s v="Bikes"/>
    <x v="1"/>
    <n v="-3046"/>
    <s v="-6.92:1"/>
    <x v="1"/>
    <x v="2"/>
  </r>
  <r>
    <s v="Road-250 Red, 44"/>
    <s v="Bikes"/>
    <x v="1"/>
    <n v="-3120"/>
    <s v="-4.59:1"/>
    <x v="1"/>
    <x v="2"/>
  </r>
  <r>
    <s v="Road-450 Red, 44"/>
    <s v="Bikes"/>
    <x v="1"/>
    <n v="-3430"/>
    <s v="NULL"/>
    <x v="0"/>
    <x v="0"/>
  </r>
  <r>
    <s v="Road-450 Red, 60"/>
    <s v="Bikes"/>
    <x v="1"/>
    <n v="-3470"/>
    <s v="NULL"/>
    <x v="0"/>
    <x v="0"/>
  </r>
  <r>
    <s v="Short-Sleeve Classic Jersey, L"/>
    <s v="Clothing"/>
    <x v="27"/>
    <n v="-3501"/>
    <s v="-9:1"/>
    <x v="1"/>
    <x v="2"/>
  </r>
  <r>
    <s v="LL Road Frame - Black, 44"/>
    <s v="Components"/>
    <x v="23"/>
    <n v="-3536"/>
    <s v="NULL"/>
    <x v="0"/>
    <x v="0"/>
  </r>
  <r>
    <s v="Long-Sleeve Logo Jersey, M"/>
    <s v="Clothing"/>
    <x v="27"/>
    <n v="-3573"/>
    <s v="-18.4:1"/>
    <x v="1"/>
    <x v="2"/>
  </r>
  <r>
    <s v="Road-250 Red, 44"/>
    <s v="Bikes"/>
    <x v="1"/>
    <n v="-3632"/>
    <s v="-3.6:1"/>
    <x v="1"/>
    <x v="2"/>
  </r>
  <r>
    <s v="Road-650 Red, 48"/>
    <s v="Bikes"/>
    <x v="1"/>
    <n v="-3725"/>
    <s v="-3.6:1"/>
    <x v="1"/>
    <x v="2"/>
  </r>
  <r>
    <s v="Touring-2000 Blue, 54"/>
    <s v="Bikes"/>
    <x v="2"/>
    <n v="-3853"/>
    <s v="-3.6:1"/>
    <x v="1"/>
    <x v="2"/>
  </r>
  <r>
    <s v="Road-550-W Yellow, 38"/>
    <s v="Bikes"/>
    <x v="1"/>
    <n v="-4312"/>
    <s v="-9.89:1"/>
    <x v="1"/>
    <x v="2"/>
  </r>
  <r>
    <s v="Mountain-200 Black, 42"/>
    <s v="Bikes"/>
    <x v="0"/>
    <n v="-4358"/>
    <s v="-1.56:1"/>
    <x v="1"/>
    <x v="2"/>
  </r>
  <r>
    <s v="Road-650 Red, 48"/>
    <s v="Bikes"/>
    <x v="1"/>
    <n v="-4582"/>
    <s v="-4.59:1"/>
    <x v="1"/>
    <x v="2"/>
  </r>
  <r>
    <s v="Road-650 Black, 58"/>
    <s v="Bikes"/>
    <x v="1"/>
    <n v="-4624"/>
    <s v="-4.59:1"/>
    <x v="1"/>
    <x v="2"/>
  </r>
  <r>
    <s v="HL Road Frame - Red, 48"/>
    <s v="Components"/>
    <x v="23"/>
    <n v="-4809"/>
    <s v="NULL"/>
    <x v="0"/>
    <x v="0"/>
  </r>
  <r>
    <s v="HL Road Frame - Black, 48"/>
    <s v="Components"/>
    <x v="23"/>
    <n v="-4809"/>
    <s v="NULL"/>
    <x v="0"/>
    <x v="0"/>
  </r>
  <r>
    <s v="Short-Sleeve Classic Jersey, L"/>
    <s v="Clothing"/>
    <x v="27"/>
    <n v="-4887"/>
    <s v="-17.38:1"/>
    <x v="1"/>
    <x v="2"/>
  </r>
  <r>
    <s v="ML Road Frame-W - Yellow, 40"/>
    <s v="Components"/>
    <x v="23"/>
    <n v="-5104"/>
    <s v="NULL"/>
    <x v="0"/>
    <x v="0"/>
  </r>
  <r>
    <s v="Road-650 Red, 62"/>
    <s v="Bikes"/>
    <x v="1"/>
    <n v="-5124"/>
    <s v="-4.59:1"/>
    <x v="1"/>
    <x v="2"/>
  </r>
  <r>
    <s v="Road-650 Red, 44"/>
    <s v="Bikes"/>
    <x v="1"/>
    <n v="-5276"/>
    <s v="-3.6:1"/>
    <x v="1"/>
    <x v="2"/>
  </r>
  <r>
    <s v="Road-750 Black, 48"/>
    <s v="Bikes"/>
    <x v="1"/>
    <n v="-5289"/>
    <s v="-4.14:1"/>
    <x v="1"/>
    <x v="2"/>
  </r>
  <r>
    <s v="Road-250 Black, 48"/>
    <s v="Bikes"/>
    <x v="1"/>
    <n v="-5292"/>
    <s v="-8.97:1"/>
    <x v="1"/>
    <x v="2"/>
  </r>
  <r>
    <s v="Road-450 Red, 58"/>
    <s v="Bikes"/>
    <x v="1"/>
    <n v="-5522"/>
    <s v="NULL"/>
    <x v="0"/>
    <x v="0"/>
  </r>
  <r>
    <s v="Touring-2000 Blue, 54"/>
    <s v="Bikes"/>
    <x v="2"/>
    <n v="-6140"/>
    <s v="-4.59:1"/>
    <x v="1"/>
    <x v="2"/>
  </r>
  <r>
    <s v="Short-Sleeve Classic Jersey, S"/>
    <s v="Clothing"/>
    <x v="27"/>
    <n v="-6954"/>
    <s v="NULL"/>
    <x v="0"/>
    <x v="0"/>
  </r>
  <r>
    <s v="Short-Sleeve Classic Jersey, XL"/>
    <s v="Clothing"/>
    <x v="27"/>
    <n v="-6955"/>
    <s v="-17.38:1"/>
    <x v="1"/>
    <x v="2"/>
  </r>
  <r>
    <s v="Road-450 Red, 52"/>
    <s v="Bikes"/>
    <x v="1"/>
    <n v="-7039"/>
    <s v="NULL"/>
    <x v="0"/>
    <x v="0"/>
  </r>
  <r>
    <s v="Touring-1000 Yellow, 60"/>
    <s v="Bikes"/>
    <x v="2"/>
    <n v="-7797"/>
    <s v="-3.6:1"/>
    <x v="1"/>
    <x v="2"/>
  </r>
  <r>
    <s v="Road-550-W Yellow, 48"/>
    <s v="Bikes"/>
    <x v="1"/>
    <n v="-8003"/>
    <s v="-9.2:1"/>
    <x v="1"/>
    <x v="2"/>
  </r>
  <r>
    <s v="Road-650 Red, 44"/>
    <s v="Bikes"/>
    <x v="1"/>
    <n v="-8039"/>
    <s v="-4.59:1"/>
    <x v="1"/>
    <x v="2"/>
  </r>
  <r>
    <s v="Long-Sleeve Logo Jersey, L"/>
    <s v="Clothing"/>
    <x v="27"/>
    <n v="-8529"/>
    <s v="-9.39:1"/>
    <x v="1"/>
    <x v="2"/>
  </r>
  <r>
    <s v="Touring-1000 Yellow, 60"/>
    <s v="Bikes"/>
    <x v="2"/>
    <n v="-8751"/>
    <s v="-4.59:1"/>
    <x v="1"/>
    <x v="2"/>
  </r>
  <r>
    <s v="Touring-1000 Blue, 46"/>
    <s v="Bikes"/>
    <x v="2"/>
    <n v="-9005"/>
    <s v="-4.59:1"/>
    <x v="1"/>
    <x v="2"/>
  </r>
  <r>
    <s v="Road-650 Red, 60"/>
    <s v="Bikes"/>
    <x v="1"/>
    <n v="-9156"/>
    <s v="-3.6:1"/>
    <x v="1"/>
    <x v="2"/>
  </r>
  <r>
    <s v="Long-Sleeve Logo Jersey, L"/>
    <s v="Clothing"/>
    <x v="27"/>
    <n v="-9239"/>
    <s v="-18.47:1"/>
    <x v="1"/>
    <x v="2"/>
  </r>
  <r>
    <s v="Touring-3000 Blue, 62"/>
    <s v="Bikes"/>
    <x v="2"/>
    <n v="-9762"/>
    <s v="-3.54:1"/>
    <x v="2"/>
    <x v="2"/>
  </r>
  <r>
    <s v="Road-650 Red, 60"/>
    <s v="Bikes"/>
    <x v="1"/>
    <n v="-10105"/>
    <s v="-4.86:1"/>
    <x v="1"/>
    <x v="2"/>
  </r>
  <r>
    <s v="Touring-1000 Yellow, 46"/>
    <s v="Bikes"/>
    <x v="2"/>
    <n v="-10637"/>
    <s v="-3.43:1"/>
    <x v="2"/>
    <x v="2"/>
  </r>
  <r>
    <s v="Road-650 Black, 52"/>
    <s v="Bikes"/>
    <x v="1"/>
    <n v="-11018"/>
    <s v="-3.6:1"/>
    <x v="1"/>
    <x v="2"/>
  </r>
  <r>
    <s v="Short-Sleeve Classic Jersey, XL"/>
    <s v="Clothing"/>
    <x v="27"/>
    <n v="-11385"/>
    <s v="-9:1"/>
    <x v="1"/>
    <x v="2"/>
  </r>
  <r>
    <s v="Road-550-W Yellow, 38"/>
    <s v="Bikes"/>
    <x v="1"/>
    <n v="-11389"/>
    <s v="NULL"/>
    <x v="0"/>
    <x v="0"/>
  </r>
  <r>
    <s v="Short-Sleeve Classic Jersey, L"/>
    <s v="Clothing"/>
    <x v="27"/>
    <n v="-11537"/>
    <s v="NULL"/>
    <x v="0"/>
    <x v="0"/>
  </r>
  <r>
    <s v="Road-650 Black, 52"/>
    <s v="Bikes"/>
    <x v="1"/>
    <n v="-11936"/>
    <s v="-6.44:1"/>
    <x v="1"/>
    <x v="2"/>
  </r>
  <r>
    <s v="Road-550-W Yellow, 48"/>
    <s v="Bikes"/>
    <x v="1"/>
    <n v="-12172"/>
    <s v="NULL"/>
    <x v="0"/>
    <x v="0"/>
  </r>
  <r>
    <s v="Touring-1000 Blue, 46"/>
    <s v="Bikes"/>
    <x v="2"/>
    <n v="-12522"/>
    <s v="-3.6:1"/>
    <x v="1"/>
    <x v="2"/>
  </r>
  <r>
    <s v="Short-Sleeve Classic Jersey, XL"/>
    <s v="Clothing"/>
    <x v="27"/>
    <n v="-12718"/>
    <s v="NULL"/>
    <x v="0"/>
    <x v="0"/>
  </r>
  <r>
    <s v="Road-650 Black, 60"/>
    <s v="Bikes"/>
    <x v="1"/>
    <n v="-13021"/>
    <s v="NULL"/>
    <x v="0"/>
    <x v="0"/>
  </r>
  <r>
    <s v="Road-350-W Yellow, 40"/>
    <s v="Bikes"/>
    <x v="1"/>
    <n v="-13186"/>
    <s v="-5.86:1"/>
    <x v="1"/>
    <x v="2"/>
  </r>
  <r>
    <s v="Touring-3000 Blue, 44"/>
    <s v="Bikes"/>
    <x v="2"/>
    <n v="-13667"/>
    <s v="-3.54:1"/>
    <x v="2"/>
    <x v="2"/>
  </r>
  <r>
    <s v="Mountain-500 Silver, 44"/>
    <s v="Bikes"/>
    <x v="0"/>
    <n v="-13704"/>
    <s v="-5.32:1"/>
    <x v="3"/>
    <x v="2"/>
  </r>
  <r>
    <s v="Touring-1000 Blue, 60"/>
    <s v="Bikes"/>
    <x v="2"/>
    <n v="-13952"/>
    <s v="-4.59:1"/>
    <x v="1"/>
    <x v="2"/>
  </r>
  <r>
    <s v="LL Road Frame - Black, 58"/>
    <s v="Components"/>
    <x v="23"/>
    <n v="-14712"/>
    <s v="NULL"/>
    <x v="0"/>
    <x v="0"/>
  </r>
  <r>
    <s v="Touring-3000 Yellow, 58"/>
    <s v="Bikes"/>
    <x v="2"/>
    <n v="-14910"/>
    <s v="-3.54:1"/>
    <x v="2"/>
    <x v="2"/>
  </r>
  <r>
    <s v="Mountain-500 Silver, 40"/>
    <s v="Bikes"/>
    <x v="0"/>
    <n v="-15627"/>
    <s v="-5.32:1"/>
    <x v="3"/>
    <x v="2"/>
  </r>
  <r>
    <s v="Road-650 Black, 44"/>
    <s v="Bikes"/>
    <x v="1"/>
    <n v="-15898"/>
    <s v="NULL"/>
    <x v="0"/>
    <x v="0"/>
  </r>
  <r>
    <s v="Touring-1000 Blue, 60"/>
    <s v="Bikes"/>
    <x v="2"/>
    <n v="-16302"/>
    <s v="-3.6:1"/>
    <x v="1"/>
    <x v="2"/>
  </r>
  <r>
    <s v="Road-350-W Yellow, 40"/>
    <s v="Bikes"/>
    <x v="1"/>
    <n v="-16856"/>
    <s v="-4.14:1"/>
    <x v="1"/>
    <x v="2"/>
  </r>
  <r>
    <s v="Road-350-W Yellow, 48"/>
    <s v="Bikes"/>
    <x v="1"/>
    <n v="-17439"/>
    <s v="-3.73:1"/>
    <x v="2"/>
    <x v="2"/>
  </r>
  <r>
    <s v="Road-650 Red, 52"/>
    <s v="Bikes"/>
    <x v="1"/>
    <n v="-17588"/>
    <s v="NULL"/>
    <x v="0"/>
    <x v="0"/>
  </r>
  <r>
    <s v="Long-Sleeve Logo Jersey, XL"/>
    <s v="Clothing"/>
    <x v="27"/>
    <n v="-17603"/>
    <s v="NULL"/>
    <x v="0"/>
    <x v="0"/>
  </r>
  <r>
    <s v="Road-250 Black, 44"/>
    <s v="Bikes"/>
    <x v="1"/>
    <n v="-17952"/>
    <s v="-12.45:1"/>
    <x v="1"/>
    <x v="2"/>
  </r>
  <r>
    <s v="Road-250 Black, 44"/>
    <s v="Bikes"/>
    <x v="1"/>
    <n v="-18415"/>
    <s v="NULL"/>
    <x v="0"/>
    <x v="0"/>
  </r>
  <r>
    <s v="Road-350-W Yellow, 48"/>
    <s v="Bikes"/>
    <x v="1"/>
    <n v="-19181"/>
    <s v="-4.14:1"/>
    <x v="1"/>
    <x v="2"/>
  </r>
  <r>
    <s v="ML Road Frame-W - Yellow, 48"/>
    <s v="Components"/>
    <x v="23"/>
    <n v="-19591"/>
    <s v="NULL"/>
    <x v="0"/>
    <x v="0"/>
  </r>
  <r>
    <s v="ML Road Frame-W - Yellow, 38"/>
    <s v="Components"/>
    <x v="23"/>
    <n v="-19713"/>
    <s v="NULL"/>
    <x v="0"/>
    <x v="0"/>
  </r>
  <r>
    <s v="Mountain-500 Silver, 42"/>
    <s v="Bikes"/>
    <x v="0"/>
    <n v="-20436"/>
    <s v="-5.32:1"/>
    <x v="3"/>
    <x v="2"/>
  </r>
  <r>
    <s v="Long-Sleeve Logo Jersey, M"/>
    <s v="Clothing"/>
    <x v="27"/>
    <n v="-20542"/>
    <s v="NULL"/>
    <x v="0"/>
    <x v="0"/>
  </r>
  <r>
    <s v="Mountain-500 Silver, 48"/>
    <s v="Bikes"/>
    <x v="0"/>
    <n v="-20676"/>
    <s v="-5.32:1"/>
    <x v="3"/>
    <x v="2"/>
  </r>
  <r>
    <s v="Touring-3000 Yellow, 54"/>
    <s v="Bikes"/>
    <x v="2"/>
    <n v="-21122"/>
    <s v="-3.54:1"/>
    <x v="2"/>
    <x v="2"/>
  </r>
  <r>
    <s v="Mountain-500 Silver, 52"/>
    <s v="Bikes"/>
    <x v="0"/>
    <n v="-21397"/>
    <s v="-5.32:1"/>
    <x v="3"/>
    <x v="2"/>
  </r>
  <r>
    <s v="Touring-3000 Blue, 58"/>
    <s v="Bikes"/>
    <x v="2"/>
    <n v="-22719"/>
    <s v="-3.54:1"/>
    <x v="2"/>
    <x v="2"/>
  </r>
  <r>
    <s v="LL Road Frame - Black, 52"/>
    <s v="Components"/>
    <x v="23"/>
    <n v="-23155"/>
    <s v="NULL"/>
    <x v="0"/>
    <x v="0"/>
  </r>
  <r>
    <s v="HL Road Frame - Black, 44"/>
    <s v="Components"/>
    <x v="23"/>
    <n v="-23676"/>
    <s v="NULL"/>
    <x v="0"/>
    <x v="0"/>
  </r>
  <r>
    <s v="Road-350-W Yellow, 48"/>
    <s v="Bikes"/>
    <x v="1"/>
    <n v="-24290"/>
    <s v="-5.86:1"/>
    <x v="1"/>
    <x v="2"/>
  </r>
  <r>
    <s v="HL Road Frame - Red, 44"/>
    <s v="Components"/>
    <x v="23"/>
    <n v="-26974"/>
    <s v="NULL"/>
    <x v="0"/>
    <x v="0"/>
  </r>
  <r>
    <s v="HL Road Frame - Red, 62"/>
    <s v="Components"/>
    <x v="23"/>
    <n v="-27032"/>
    <s v="NULL"/>
    <x v="0"/>
    <x v="0"/>
  </r>
  <r>
    <s v="ML Road Frame-W - Yellow, 44"/>
    <s v="Components"/>
    <x v="23"/>
    <n v="-30804"/>
    <s v="NULL"/>
    <x v="0"/>
    <x v="0"/>
  </r>
  <r>
    <s v="Road-650 Red, 48"/>
    <s v="Bikes"/>
    <x v="1"/>
    <n v="-31929"/>
    <s v="NULL"/>
    <x v="0"/>
    <x v="0"/>
  </r>
  <r>
    <s v="Touring-3000 Yellow, 50"/>
    <s v="Bikes"/>
    <x v="2"/>
    <n v="-34434"/>
    <s v="-3.54:1"/>
    <x v="2"/>
    <x v="2"/>
  </r>
  <r>
    <s v="Road-650 Black, 58"/>
    <s v="Bikes"/>
    <x v="1"/>
    <n v="-34742"/>
    <s v="NULL"/>
    <x v="0"/>
    <x v="0"/>
  </r>
  <r>
    <s v="Touring-3000 Blue, 54"/>
    <s v="Bikes"/>
    <x v="2"/>
    <n v="-34967"/>
    <s v="-3.54:1"/>
    <x v="2"/>
    <x v="2"/>
  </r>
  <r>
    <s v="Road-650 Red, 62"/>
    <s v="Bikes"/>
    <x v="1"/>
    <n v="-35284"/>
    <s v="NULL"/>
    <x v="0"/>
    <x v="0"/>
  </r>
  <r>
    <s v="Long-Sleeve Logo Jersey, L"/>
    <s v="Clothing"/>
    <x v="27"/>
    <n v="-36679"/>
    <s v="NULL"/>
    <x v="0"/>
    <x v="0"/>
  </r>
  <r>
    <s v="Road-650 Black, 52"/>
    <s v="Bikes"/>
    <x v="1"/>
    <n v="-38959"/>
    <s v="NULL"/>
    <x v="0"/>
    <x v="0"/>
  </r>
  <r>
    <s v="Touring-3000 Yellow, 44"/>
    <s v="Bikes"/>
    <x v="2"/>
    <n v="-41357"/>
    <s v="-3.54:1"/>
    <x v="2"/>
    <x v="2"/>
  </r>
  <r>
    <s v="Touring-3000 Blue, 50"/>
    <s v="Bikes"/>
    <x v="2"/>
    <n v="-41889"/>
    <s v="-3.54:1"/>
    <x v="2"/>
    <x v="2"/>
  </r>
  <r>
    <s v="Touring-3000 Yellow, 62"/>
    <s v="Bikes"/>
    <x v="2"/>
    <n v="-42244"/>
    <s v="-3.54:1"/>
    <x v="2"/>
    <x v="2"/>
  </r>
  <r>
    <s v="Road-650 Red, 44"/>
    <s v="Bikes"/>
    <x v="1"/>
    <n v="-42408"/>
    <s v="NULL"/>
    <x v="0"/>
    <x v="0"/>
  </r>
  <r>
    <s v="Road-650 Red, 60"/>
    <s v="Bikes"/>
    <x v="1"/>
    <n v="-50539"/>
    <s v="NULL"/>
    <x v="0"/>
    <x v="0"/>
  </r>
  <r>
    <s v="Mountain-100 Silver, 48"/>
    <s v="Bikes"/>
    <x v="0"/>
    <n v="-54386"/>
    <s v="-4.57:1"/>
    <x v="4"/>
    <x v="2"/>
  </r>
  <r>
    <s v="Touring-1000 Yellow, 54"/>
    <s v="Bikes"/>
    <x v="2"/>
    <n v="-55366"/>
    <s v="-3.77:1"/>
    <x v="4"/>
    <x v="2"/>
  </r>
  <r>
    <s v="Mountain-100 Silver, 44"/>
    <s v="Bikes"/>
    <x v="0"/>
    <n v="-66623"/>
    <s v="-4.57:1"/>
    <x v="4"/>
    <x v="2"/>
  </r>
  <r>
    <s v="Mountain-100 Silver, 42"/>
    <s v="Bikes"/>
    <x v="0"/>
    <n v="-72062"/>
    <s v="-4.57:1"/>
    <x v="4"/>
    <x v="2"/>
  </r>
  <r>
    <s v="Mountain-100 Black, 44"/>
    <s v="Bikes"/>
    <x v="0"/>
    <n v="-78280"/>
    <s v="-4.57:1"/>
    <x v="4"/>
    <x v="2"/>
  </r>
  <r>
    <s v="Mountain-100 Black, 42"/>
    <s v="Bikes"/>
    <x v="0"/>
    <n v="-80980"/>
    <s v="-4.57:1"/>
    <x v="4"/>
    <x v="2"/>
  </r>
  <r>
    <s v="Mountain-100 Black, 48"/>
    <s v="Bikes"/>
    <x v="0"/>
    <n v="-82329"/>
    <s v="-4.57:1"/>
    <x v="4"/>
    <x v="2"/>
  </r>
  <r>
    <s v="Mountain-100 Silver, 38"/>
    <s v="Bikes"/>
    <x v="0"/>
    <n v="-88378"/>
    <s v="-4.57:1"/>
    <x v="4"/>
    <x v="2"/>
  </r>
  <r>
    <s v="Mountain-100 Black, 38"/>
    <s v="Bikes"/>
    <x v="0"/>
    <n v="-94476"/>
    <s v="-4.57:1"/>
    <x v="4"/>
    <x v="2"/>
  </r>
  <r>
    <s v="Road-650 Red, 44"/>
    <s v="Bikes"/>
    <x v="1"/>
    <n v="-97973"/>
    <s v="-4.57:1"/>
    <x v="4"/>
    <x v="2"/>
  </r>
  <r>
    <s v="Touring-1000 Yellow, 50"/>
    <s v="Bikes"/>
    <x v="2"/>
    <n v="-102822"/>
    <s v="-3.77:1"/>
    <x v="4"/>
    <x v="2"/>
  </r>
  <r>
    <s v="Touring-1000 Yellow, 46"/>
    <s v="Bikes"/>
    <x v="2"/>
    <n v="-176883"/>
    <s v="-3.77:1"/>
    <x v="4"/>
    <x v="2"/>
  </r>
  <r>
    <s v="Touring-1000 Yellow, 60"/>
    <s v="Bikes"/>
    <x v="2"/>
    <n v="-212835"/>
    <s v="-3.77:1"/>
    <x v="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7B536-F18B-4BED-AA05-FA01B4F4361C}" name="PivotTable27" cacheId="4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Subcategories">
  <location ref="I19:M56" firstHeaderRow="1" firstDataRow="2" firstDataCol="1"/>
  <pivotFields count="7">
    <pivotField showAll="0"/>
    <pivotField showAll="0"/>
    <pivotField axis="axisRow" showAll="0">
      <items count="36">
        <item x="15"/>
        <item x="3"/>
        <item x="13"/>
        <item x="18"/>
        <item x="22"/>
        <item x="19"/>
        <item x="34"/>
        <item x="32"/>
        <item x="26"/>
        <item x="7"/>
        <item x="21"/>
        <item x="12"/>
        <item x="17"/>
        <item x="16"/>
        <item x="20"/>
        <item x="25"/>
        <item x="4"/>
        <item x="5"/>
        <item x="27"/>
        <item x="28"/>
        <item x="0"/>
        <item x="11"/>
        <item x="24"/>
        <item x="31"/>
        <item x="1"/>
        <item x="23"/>
        <item x="29"/>
        <item x="8"/>
        <item x="30"/>
        <item x="14"/>
        <item x="10"/>
        <item x="2"/>
        <item x="33"/>
        <item x="9"/>
        <item x="6"/>
        <item t="default"/>
      </items>
    </pivotField>
    <pivotField dataField="1" showAll="0"/>
    <pivotField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Profit" fld="3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3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D9D60-9906-425A-B91B-A2E191700149}" name="PivotTable26" cacheId="4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9:O16" firstHeaderRow="1" firstDataRow="2" firstDataCol="1"/>
  <pivotFields count="7">
    <pivotField dataField="1"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4"/>
        <item x="3"/>
        <item t="default"/>
      </items>
    </pivotField>
    <pivotField axis="axisCol" showAll="0">
      <items count="4">
        <item x="1"/>
        <item x="2"/>
        <item x="0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Product name " fld="0" subtotal="count" baseField="0" baseItem="0"/>
  </dataFields>
  <formats count="5">
    <format dxfId="6">
      <pivotArea collapsedLevelsAreSubtotals="1" fieldPosition="0">
        <references count="2">
          <reference field="5" count="0"/>
          <reference field="6" count="1" selected="0">
            <x v="0"/>
          </reference>
        </references>
      </pivotArea>
    </format>
    <format dxfId="5">
      <pivotArea dataOnly="0" labelOnly="1" fieldPosition="0">
        <references count="1">
          <reference field="6" count="1">
            <x v="0"/>
          </reference>
        </references>
      </pivotArea>
    </format>
    <format dxfId="4">
      <pivotArea collapsedLevelsAreSubtotals="1" fieldPosition="0">
        <references count="2">
          <reference field="5" count="1">
            <x v="1"/>
          </reference>
          <reference field="6" count="1" selected="0">
            <x v="0"/>
          </reference>
        </references>
      </pivotArea>
    </format>
    <format dxfId="3">
      <pivotArea collapsedLevelsAreSubtotals="1" fieldPosition="0">
        <references count="2">
          <reference field="5" count="0"/>
          <reference field="6" count="1" selected="0">
            <x v="1"/>
          </reference>
        </references>
      </pivotArea>
    </format>
    <format dxfId="2">
      <pivotArea dataOnly="0" labelOnly="1" fieldPosition="0">
        <references count="1">
          <reference field="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1557E4-5251-4AD5-9D8E-39C4231EAA8E}" autoFormatId="16" applyNumberFormats="0" applyBorderFormats="0" applyFontFormats="0" applyPatternFormats="0" applyAlignmentFormats="0" applyWidthHeightFormats="0">
  <queryTableRefresh nextId="8">
    <queryTableFields count="7">
      <queryTableField id="1" name="productname" tableColumnId="1"/>
      <queryTableField id="2" name="category" tableColumnId="2"/>
      <queryTableField id="3" name="subcategory" tableColumnId="3"/>
      <queryTableField id="4" name="Profit" tableColumnId="4"/>
      <queryTableField id="5" name="Discount_efficiency_ratio" tableColumnId="5"/>
      <queryTableField id="6" name="discount_buckets" tableColumnId="6"/>
      <queryTableField id="7" name="Impact_on_Business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088004D-0FC9-492E-B63E-16D4AC77A4A7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Discount_strategy" tableColumnId="1"/>
      <queryTableField id="2" name="category" tableColumnId="2"/>
      <queryTableField id="3" name="subcategory" tableColumnId="3"/>
      <queryTableField id="4" name="Number_of_orders" tableColumnId="4"/>
      <queryTableField id="5" name="Total_orders" tableColumnId="5"/>
      <queryTableField id="6" name="Total_Revenue" tableColumnId="6"/>
      <queryTableField id="7" name="Total_discounts" tableColumnId="7"/>
      <queryTableField id="8" name="Total_Profit" tableColumnId="8"/>
      <queryTableField id="9" name="Strategy_Efficiency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984DE0-F609-48E1-92BC-023ACC5BE675}" name="Discount_Impact" displayName="Discount_Impact" ref="A1:G485" tableType="queryTable" totalsRowShown="0">
  <autoFilter ref="A1:G485" xr:uid="{B1984DE0-F609-48E1-92BC-023ACC5BE675}"/>
  <tableColumns count="7">
    <tableColumn id="1" xr3:uid="{E57164C7-8B75-4541-9CEB-2C62F4273A7C}" uniqueName="1" name="Product name " queryTableFieldId="1" dataDxfId="12"/>
    <tableColumn id="2" xr3:uid="{C97F9336-A9C3-4B9E-8003-BFD0CA73947F}" uniqueName="2" name="category" queryTableFieldId="2" dataDxfId="11"/>
    <tableColumn id="3" xr3:uid="{29E8BAB5-3839-4CB6-A700-586678E21DCE}" uniqueName="3" name="subcategory" queryTableFieldId="3" dataDxfId="10"/>
    <tableColumn id="4" xr3:uid="{44006E5C-0AA9-4826-B4A7-024A560B0BE8}" uniqueName="4" name="Profit" queryTableFieldId="4"/>
    <tableColumn id="5" xr3:uid="{496023AF-1463-4926-A08B-7465A0CB47F6}" uniqueName="5" name="Discount efficiency ratio" queryTableFieldId="5" dataDxfId="9"/>
    <tableColumn id="6" xr3:uid="{3A0F2F17-E825-4611-949F-0F24C7CEF142}" uniqueName="6" name="discount buckets" queryTableFieldId="6" dataDxfId="8"/>
    <tableColumn id="7" xr3:uid="{BFE79893-84ED-49EA-8CA7-2C0E6A13EF81}" uniqueName="7" name="Impact on Business" queryTableFieldId="7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89EBC4-484D-4FE7-9862-7937614A498A}" name="Table2" displayName="Table2" ref="K1:L5" totalsRowShown="0">
  <autoFilter ref="K1:L5" xr:uid="{9189EBC4-484D-4FE7-9862-7937614A498A}"/>
  <tableColumns count="2">
    <tableColumn id="1" xr3:uid="{DECFAAB1-CFAE-4A33-AB7E-1110B9FC5B95}" name="Categories"/>
    <tableColumn id="3" xr3:uid="{A3DD709F-0C05-4E22-A456-18503E1E92DC}" name="Impact On busine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64CFA4-AA63-4FFE-A2D6-91A1B45E2407}" name="Discount_Impact_on_company_level__2" displayName="Discount_Impact_on_company_level__2" ref="A1:J85" tableType="queryTable" totalsRowShown="0">
  <autoFilter ref="A1:J85" xr:uid="{C264CFA4-AA63-4FFE-A2D6-91A1B45E2407}"/>
  <tableColumns count="10">
    <tableColumn id="1" xr3:uid="{64CECF03-AE41-4BC5-A9D8-DA1B8BEDC89B}" uniqueName="1" name="Discount_strategy" queryTableFieldId="1" dataDxfId="17"/>
    <tableColumn id="2" xr3:uid="{2CFEF73B-93F9-450F-A3B5-294573A66F12}" uniqueName="2" name="category" queryTableFieldId="2" dataDxfId="16"/>
    <tableColumn id="3" xr3:uid="{F4A00AEC-5A50-4987-B246-B605BA491692}" uniqueName="3" name="subcategory" queryTableFieldId="3" dataDxfId="15"/>
    <tableColumn id="4" xr3:uid="{9F50C32A-28B7-4E4C-8AB5-4C62FC670D03}" uniqueName="4" name="Number_of_orders" queryTableFieldId="4"/>
    <tableColumn id="5" xr3:uid="{ED3D1A7B-EECC-4A1A-BA3D-B2E4C7171AC1}" uniqueName="5" name="Total_orders" queryTableFieldId="5"/>
    <tableColumn id="6" xr3:uid="{DC85C912-A9F7-4632-BC73-BF3DCC31CE6A}" uniqueName="6" name="Total_Revenue" queryTableFieldId="6"/>
    <tableColumn id="7" xr3:uid="{F6EFB800-DB12-4CDD-9DA2-12785AE8BC39}" uniqueName="7" name="Total_discounts" queryTableFieldId="7"/>
    <tableColumn id="8" xr3:uid="{30386ED0-9310-4865-ABA8-0859F6B543FD}" uniqueName="8" name="Total_Profit" queryTableFieldId="8"/>
    <tableColumn id="9" xr3:uid="{9171F6AF-F8C1-4370-B2EA-49846DC17082}" uniqueName="9" name="Strategy_Efficiency" queryTableFieldId="9" dataDxfId="14"/>
    <tableColumn id="10" xr3:uid="{1F690207-E204-4DAA-88A6-077306564361}" uniqueName="10" name="Classification " queryTableFieldId="10" dataDxfId="13">
      <calculatedColumnFormula array="1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0C60-B991-4DBD-B1C3-2D8494C5D10A}">
  <dimension ref="A1:O485"/>
  <sheetViews>
    <sheetView tabSelected="1" topLeftCell="D17" zoomScale="70" zoomScaleNormal="70" workbookViewId="0">
      <selection activeCell="N42" sqref="N42"/>
    </sheetView>
  </sheetViews>
  <sheetFormatPr defaultRowHeight="15" x14ac:dyDescent="0.25"/>
  <cols>
    <col min="1" max="1" width="31.42578125" bestFit="1" customWidth="1"/>
    <col min="2" max="2" width="12.28515625" bestFit="1" customWidth="1"/>
    <col min="3" max="3" width="16.7109375" bestFit="1" customWidth="1"/>
    <col min="4" max="4" width="8.28515625" bestFit="1" customWidth="1"/>
    <col min="5" max="5" width="26.28515625" bestFit="1" customWidth="1"/>
    <col min="6" max="6" width="19.85546875" bestFit="1" customWidth="1"/>
    <col min="7" max="7" width="21.5703125" bestFit="1" customWidth="1"/>
    <col min="8" max="8" width="13.7109375" bestFit="1" customWidth="1"/>
    <col min="9" max="9" width="18" bestFit="1" customWidth="1"/>
    <col min="10" max="10" width="16.28515625" bestFit="1" customWidth="1"/>
    <col min="11" max="11" width="12.7109375" bestFit="1" customWidth="1"/>
    <col min="12" max="12" width="15.42578125" bestFit="1" customWidth="1"/>
    <col min="13" max="13" width="11.28515625" bestFit="1" customWidth="1"/>
    <col min="14" max="14" width="15.42578125" bestFit="1" customWidth="1"/>
    <col min="15" max="15" width="11.28515625" bestFit="1" customWidth="1"/>
  </cols>
  <sheetData>
    <row r="1" spans="1:15" x14ac:dyDescent="0.25">
      <c r="A1" t="s">
        <v>392</v>
      </c>
      <c r="B1" t="s">
        <v>0</v>
      </c>
      <c r="C1" t="s">
        <v>1</v>
      </c>
      <c r="D1" t="s">
        <v>2</v>
      </c>
      <c r="E1" t="s">
        <v>393</v>
      </c>
      <c r="F1" t="s">
        <v>394</v>
      </c>
      <c r="G1" t="s">
        <v>395</v>
      </c>
      <c r="K1" t="s">
        <v>409</v>
      </c>
      <c r="L1" t="s">
        <v>410</v>
      </c>
    </row>
    <row r="2" spans="1:15" x14ac:dyDescent="0.25">
      <c r="A2" t="s">
        <v>3</v>
      </c>
      <c r="B2" t="s">
        <v>4</v>
      </c>
      <c r="C2" t="s">
        <v>5</v>
      </c>
      <c r="D2">
        <v>678168</v>
      </c>
      <c r="E2" t="s">
        <v>6</v>
      </c>
      <c r="F2" t="s">
        <v>7</v>
      </c>
      <c r="G2" t="s">
        <v>8</v>
      </c>
      <c r="K2" s="2" t="s">
        <v>8</v>
      </c>
      <c r="L2">
        <f>SUMIF(G:G,K2,D:D)</f>
        <v>11264982</v>
      </c>
    </row>
    <row r="3" spans="1:15" x14ac:dyDescent="0.25">
      <c r="A3" t="s">
        <v>9</v>
      </c>
      <c r="B3" t="s">
        <v>4</v>
      </c>
      <c r="C3" t="s">
        <v>5</v>
      </c>
      <c r="D3">
        <v>674751</v>
      </c>
      <c r="E3" t="s">
        <v>6</v>
      </c>
      <c r="F3" t="s">
        <v>7</v>
      </c>
      <c r="G3" t="s">
        <v>8</v>
      </c>
      <c r="H3" s="3"/>
      <c r="K3" s="2" t="s">
        <v>155</v>
      </c>
      <c r="L3">
        <f>SUMIF(G:G,K3,D:D)</f>
        <v>150983</v>
      </c>
    </row>
    <row r="4" spans="1:15" x14ac:dyDescent="0.25">
      <c r="A4" t="s">
        <v>10</v>
      </c>
      <c r="B4" t="s">
        <v>4</v>
      </c>
      <c r="C4" t="s">
        <v>5</v>
      </c>
      <c r="D4">
        <v>667016</v>
      </c>
      <c r="E4" t="s">
        <v>6</v>
      </c>
      <c r="F4" t="s">
        <v>7</v>
      </c>
      <c r="G4" t="s">
        <v>8</v>
      </c>
      <c r="H4" s="1"/>
      <c r="K4" s="4" t="s">
        <v>311</v>
      </c>
      <c r="L4">
        <f>SUMIF(G:G,K4,D:D)</f>
        <v>-2044057</v>
      </c>
    </row>
    <row r="5" spans="1:15" x14ac:dyDescent="0.25">
      <c r="A5" t="s">
        <v>11</v>
      </c>
      <c r="B5" t="s">
        <v>4</v>
      </c>
      <c r="C5" t="s">
        <v>5</v>
      </c>
      <c r="D5">
        <v>662858</v>
      </c>
      <c r="E5" t="s">
        <v>6</v>
      </c>
      <c r="F5" t="s">
        <v>7</v>
      </c>
      <c r="G5" t="s">
        <v>8</v>
      </c>
      <c r="H5" s="7"/>
      <c r="L5">
        <f>SUM(L2:L4)</f>
        <v>9371908</v>
      </c>
    </row>
    <row r="6" spans="1:15" x14ac:dyDescent="0.25">
      <c r="A6" t="s">
        <v>12</v>
      </c>
      <c r="B6" t="s">
        <v>4</v>
      </c>
      <c r="C6" t="s">
        <v>5</v>
      </c>
      <c r="D6">
        <v>630910</v>
      </c>
      <c r="E6" t="s">
        <v>6</v>
      </c>
      <c r="F6" t="s">
        <v>7</v>
      </c>
      <c r="G6" t="s">
        <v>8</v>
      </c>
    </row>
    <row r="7" spans="1:15" x14ac:dyDescent="0.25">
      <c r="A7" t="s">
        <v>13</v>
      </c>
      <c r="B7" t="s">
        <v>4</v>
      </c>
      <c r="C7" t="s">
        <v>5</v>
      </c>
      <c r="D7">
        <v>613330</v>
      </c>
      <c r="E7" t="s">
        <v>6</v>
      </c>
      <c r="F7" t="s">
        <v>7</v>
      </c>
      <c r="G7" t="s">
        <v>8</v>
      </c>
    </row>
    <row r="8" spans="1:15" x14ac:dyDescent="0.25">
      <c r="A8" t="s">
        <v>14</v>
      </c>
      <c r="B8" t="s">
        <v>4</v>
      </c>
      <c r="C8" t="s">
        <v>15</v>
      </c>
      <c r="D8">
        <v>470355</v>
      </c>
      <c r="E8" t="s">
        <v>6</v>
      </c>
      <c r="F8" t="s">
        <v>7</v>
      </c>
      <c r="G8" t="s">
        <v>8</v>
      </c>
    </row>
    <row r="9" spans="1:15" x14ac:dyDescent="0.25">
      <c r="A9" t="s">
        <v>16</v>
      </c>
      <c r="B9" t="s">
        <v>4</v>
      </c>
      <c r="C9" t="s">
        <v>15</v>
      </c>
      <c r="D9">
        <v>466320</v>
      </c>
      <c r="E9" t="s">
        <v>6</v>
      </c>
      <c r="F9" t="s">
        <v>7</v>
      </c>
      <c r="G9" t="s">
        <v>8</v>
      </c>
      <c r="K9" s="5" t="s">
        <v>414</v>
      </c>
      <c r="L9" s="5" t="s">
        <v>413</v>
      </c>
    </row>
    <row r="10" spans="1:15" x14ac:dyDescent="0.25">
      <c r="A10" t="s">
        <v>17</v>
      </c>
      <c r="B10" t="s">
        <v>4</v>
      </c>
      <c r="C10" t="s">
        <v>15</v>
      </c>
      <c r="D10">
        <v>421111</v>
      </c>
      <c r="E10" t="s">
        <v>6</v>
      </c>
      <c r="F10" t="s">
        <v>7</v>
      </c>
      <c r="G10" t="s">
        <v>8</v>
      </c>
      <c r="K10" s="5" t="s">
        <v>411</v>
      </c>
      <c r="L10" s="9" t="s">
        <v>155</v>
      </c>
      <c r="M10" s="13" t="s">
        <v>311</v>
      </c>
      <c r="N10" t="s">
        <v>8</v>
      </c>
      <c r="O10" t="s">
        <v>412</v>
      </c>
    </row>
    <row r="11" spans="1:15" x14ac:dyDescent="0.25">
      <c r="A11" t="s">
        <v>18</v>
      </c>
      <c r="B11" t="s">
        <v>4</v>
      </c>
      <c r="C11" t="s">
        <v>15</v>
      </c>
      <c r="D11">
        <v>406079</v>
      </c>
      <c r="E11" t="s">
        <v>6</v>
      </c>
      <c r="F11" t="s">
        <v>7</v>
      </c>
      <c r="G11" t="s">
        <v>8</v>
      </c>
      <c r="K11" s="8" t="s">
        <v>241</v>
      </c>
      <c r="L11" s="10">
        <v>18</v>
      </c>
      <c r="M11" s="12">
        <v>16</v>
      </c>
      <c r="N11" s="6"/>
      <c r="O11" s="6">
        <v>34</v>
      </c>
    </row>
    <row r="12" spans="1:15" x14ac:dyDescent="0.25">
      <c r="A12" t="s">
        <v>19</v>
      </c>
      <c r="B12" t="s">
        <v>4</v>
      </c>
      <c r="C12" t="s">
        <v>15</v>
      </c>
      <c r="D12">
        <v>391564</v>
      </c>
      <c r="E12" t="s">
        <v>6</v>
      </c>
      <c r="F12" t="s">
        <v>7</v>
      </c>
      <c r="G12" t="s">
        <v>8</v>
      </c>
      <c r="K12" s="8" t="s">
        <v>154</v>
      </c>
      <c r="L12" s="11">
        <v>88</v>
      </c>
      <c r="M12" s="12">
        <v>78</v>
      </c>
      <c r="N12" s="6"/>
      <c r="O12" s="6">
        <v>166</v>
      </c>
    </row>
    <row r="13" spans="1:15" x14ac:dyDescent="0.25">
      <c r="A13" t="s">
        <v>20</v>
      </c>
      <c r="B13" t="s">
        <v>4</v>
      </c>
      <c r="C13" t="s">
        <v>5</v>
      </c>
      <c r="D13">
        <v>156759</v>
      </c>
      <c r="E13" t="s">
        <v>6</v>
      </c>
      <c r="F13" t="s">
        <v>7</v>
      </c>
      <c r="G13" t="s">
        <v>8</v>
      </c>
      <c r="K13" s="8" t="s">
        <v>7</v>
      </c>
      <c r="L13" s="10"/>
      <c r="M13" s="12"/>
      <c r="N13" s="6">
        <v>266</v>
      </c>
      <c r="O13" s="6">
        <v>266</v>
      </c>
    </row>
    <row r="14" spans="1:15" x14ac:dyDescent="0.25">
      <c r="A14" t="s">
        <v>21</v>
      </c>
      <c r="B14" t="s">
        <v>4</v>
      </c>
      <c r="C14" t="s">
        <v>5</v>
      </c>
      <c r="D14">
        <v>152643</v>
      </c>
      <c r="E14" t="s">
        <v>6</v>
      </c>
      <c r="F14" t="s">
        <v>7</v>
      </c>
      <c r="G14" t="s">
        <v>8</v>
      </c>
      <c r="K14" s="8" t="s">
        <v>6</v>
      </c>
      <c r="L14" s="10"/>
      <c r="M14" s="12">
        <v>13</v>
      </c>
      <c r="N14" s="6"/>
      <c r="O14" s="6">
        <v>13</v>
      </c>
    </row>
    <row r="15" spans="1:15" x14ac:dyDescent="0.25">
      <c r="A15" t="s">
        <v>22</v>
      </c>
      <c r="B15" t="s">
        <v>4</v>
      </c>
      <c r="C15" t="s">
        <v>5</v>
      </c>
      <c r="D15">
        <v>147379</v>
      </c>
      <c r="E15" t="s">
        <v>6</v>
      </c>
      <c r="F15" t="s">
        <v>7</v>
      </c>
      <c r="G15" t="s">
        <v>8</v>
      </c>
      <c r="K15" s="8" t="s">
        <v>379</v>
      </c>
      <c r="L15" s="10"/>
      <c r="M15" s="12">
        <v>5</v>
      </c>
      <c r="N15" s="6"/>
      <c r="O15" s="6">
        <v>5</v>
      </c>
    </row>
    <row r="16" spans="1:15" x14ac:dyDescent="0.25">
      <c r="A16" t="s">
        <v>23</v>
      </c>
      <c r="B16" t="s">
        <v>4</v>
      </c>
      <c r="C16" t="s">
        <v>5</v>
      </c>
      <c r="D16">
        <v>139244</v>
      </c>
      <c r="E16" t="s">
        <v>6</v>
      </c>
      <c r="F16" t="s">
        <v>7</v>
      </c>
      <c r="G16" t="s">
        <v>8</v>
      </c>
      <c r="K16" s="8" t="s">
        <v>412</v>
      </c>
      <c r="L16" s="6">
        <v>106</v>
      </c>
      <c r="M16" s="6">
        <v>112</v>
      </c>
      <c r="N16" s="6">
        <v>266</v>
      </c>
      <c r="O16" s="6">
        <v>484</v>
      </c>
    </row>
    <row r="17" spans="1:13" x14ac:dyDescent="0.25">
      <c r="A17" t="s">
        <v>24</v>
      </c>
      <c r="B17" t="s">
        <v>4</v>
      </c>
      <c r="C17" t="s">
        <v>25</v>
      </c>
      <c r="D17">
        <v>134195</v>
      </c>
      <c r="E17" t="s">
        <v>6</v>
      </c>
      <c r="F17" t="s">
        <v>7</v>
      </c>
      <c r="G17" t="s">
        <v>8</v>
      </c>
    </row>
    <row r="18" spans="1:13" x14ac:dyDescent="0.25">
      <c r="A18" t="s">
        <v>26</v>
      </c>
      <c r="B18" t="s">
        <v>4</v>
      </c>
      <c r="C18" t="s">
        <v>5</v>
      </c>
      <c r="D18">
        <v>134139</v>
      </c>
      <c r="E18" t="s">
        <v>6</v>
      </c>
      <c r="F18" t="s">
        <v>7</v>
      </c>
      <c r="G18" t="s">
        <v>8</v>
      </c>
    </row>
    <row r="19" spans="1:13" x14ac:dyDescent="0.25">
      <c r="A19" t="s">
        <v>27</v>
      </c>
      <c r="B19" t="s">
        <v>4</v>
      </c>
      <c r="C19" t="s">
        <v>5</v>
      </c>
      <c r="D19">
        <v>132067</v>
      </c>
      <c r="E19" t="s">
        <v>6</v>
      </c>
      <c r="F19" t="s">
        <v>7</v>
      </c>
      <c r="G19" t="s">
        <v>8</v>
      </c>
      <c r="I19" s="5" t="s">
        <v>415</v>
      </c>
      <c r="J19" s="5" t="s">
        <v>413</v>
      </c>
    </row>
    <row r="20" spans="1:13" x14ac:dyDescent="0.25">
      <c r="A20" t="s">
        <v>28</v>
      </c>
      <c r="B20" t="s">
        <v>4</v>
      </c>
      <c r="C20" t="s">
        <v>25</v>
      </c>
      <c r="D20">
        <v>131313</v>
      </c>
      <c r="E20" t="s">
        <v>6</v>
      </c>
      <c r="F20" t="s">
        <v>7</v>
      </c>
      <c r="G20" t="s">
        <v>8</v>
      </c>
      <c r="I20" s="5" t="s">
        <v>416</v>
      </c>
      <c r="J20" t="s">
        <v>155</v>
      </c>
      <c r="K20" t="s">
        <v>311</v>
      </c>
      <c r="L20" t="s">
        <v>8</v>
      </c>
      <c r="M20" t="s">
        <v>412</v>
      </c>
    </row>
    <row r="21" spans="1:13" x14ac:dyDescent="0.25">
      <c r="A21" t="s">
        <v>29</v>
      </c>
      <c r="B21" t="s">
        <v>4</v>
      </c>
      <c r="C21" t="s">
        <v>25</v>
      </c>
      <c r="D21">
        <v>127462</v>
      </c>
      <c r="E21" t="s">
        <v>6</v>
      </c>
      <c r="F21" t="s">
        <v>7</v>
      </c>
      <c r="G21" t="s">
        <v>8</v>
      </c>
      <c r="I21" s="8" t="s">
        <v>102</v>
      </c>
      <c r="J21" s="6">
        <v>3522</v>
      </c>
      <c r="K21" s="6"/>
      <c r="L21" s="6">
        <v>48033</v>
      </c>
      <c r="M21" s="6">
        <v>51555</v>
      </c>
    </row>
    <row r="22" spans="1:13" x14ac:dyDescent="0.25">
      <c r="A22" t="s">
        <v>30</v>
      </c>
      <c r="B22" t="s">
        <v>4</v>
      </c>
      <c r="C22" t="s">
        <v>5</v>
      </c>
      <c r="D22">
        <v>124363</v>
      </c>
      <c r="E22" t="s">
        <v>6</v>
      </c>
      <c r="F22" t="s">
        <v>7</v>
      </c>
      <c r="G22" t="s">
        <v>8</v>
      </c>
      <c r="I22" s="8" t="s">
        <v>49</v>
      </c>
      <c r="J22" s="6">
        <v>18541</v>
      </c>
      <c r="K22" s="6"/>
      <c r="L22" s="6">
        <v>76466</v>
      </c>
      <c r="M22" s="6">
        <v>95007</v>
      </c>
    </row>
    <row r="23" spans="1:13" x14ac:dyDescent="0.25">
      <c r="A23" t="s">
        <v>31</v>
      </c>
      <c r="B23" t="s">
        <v>4</v>
      </c>
      <c r="C23" t="s">
        <v>25</v>
      </c>
      <c r="D23">
        <v>123579</v>
      </c>
      <c r="E23" t="s">
        <v>6</v>
      </c>
      <c r="F23" t="s">
        <v>7</v>
      </c>
      <c r="G23" t="s">
        <v>8</v>
      </c>
      <c r="I23" s="8" t="s">
        <v>96</v>
      </c>
      <c r="J23" s="6"/>
      <c r="K23" s="6"/>
      <c r="L23" s="6">
        <v>24784</v>
      </c>
      <c r="M23" s="6">
        <v>24784</v>
      </c>
    </row>
    <row r="24" spans="1:13" x14ac:dyDescent="0.25">
      <c r="A24" t="s">
        <v>32</v>
      </c>
      <c r="B24" t="s">
        <v>4</v>
      </c>
      <c r="C24" t="s">
        <v>25</v>
      </c>
      <c r="D24">
        <v>117786</v>
      </c>
      <c r="E24" t="s">
        <v>6</v>
      </c>
      <c r="F24" t="s">
        <v>7</v>
      </c>
      <c r="G24" t="s">
        <v>8</v>
      </c>
      <c r="I24" s="8" t="s">
        <v>129</v>
      </c>
      <c r="J24" s="6">
        <v>678</v>
      </c>
      <c r="K24" s="6"/>
      <c r="L24" s="6">
        <v>37557</v>
      </c>
      <c r="M24" s="6">
        <v>38235</v>
      </c>
    </row>
    <row r="25" spans="1:13" x14ac:dyDescent="0.25">
      <c r="A25" t="s">
        <v>33</v>
      </c>
      <c r="B25" t="s">
        <v>4</v>
      </c>
      <c r="C25" t="s">
        <v>15</v>
      </c>
      <c r="D25">
        <v>116935</v>
      </c>
      <c r="E25" t="s">
        <v>6</v>
      </c>
      <c r="F25" t="s">
        <v>7</v>
      </c>
      <c r="G25" t="s">
        <v>8</v>
      </c>
      <c r="I25" s="8" t="s">
        <v>160</v>
      </c>
      <c r="J25" s="6"/>
      <c r="K25" s="6"/>
      <c r="L25" s="6">
        <v>13475</v>
      </c>
      <c r="M25" s="6">
        <v>13475</v>
      </c>
    </row>
    <row r="26" spans="1:13" x14ac:dyDescent="0.25">
      <c r="A26" t="s">
        <v>34</v>
      </c>
      <c r="B26" t="s">
        <v>4</v>
      </c>
      <c r="C26" t="s">
        <v>15</v>
      </c>
      <c r="D26">
        <v>116027</v>
      </c>
      <c r="E26" t="s">
        <v>6</v>
      </c>
      <c r="F26" t="s">
        <v>7</v>
      </c>
      <c r="G26" t="s">
        <v>8</v>
      </c>
      <c r="I26" s="8" t="s">
        <v>141</v>
      </c>
      <c r="J26" s="6">
        <v>464</v>
      </c>
      <c r="K26" s="6"/>
      <c r="L26" s="6">
        <v>16614</v>
      </c>
      <c r="M26" s="6">
        <v>17078</v>
      </c>
    </row>
    <row r="27" spans="1:13" x14ac:dyDescent="0.25">
      <c r="A27" t="s">
        <v>35</v>
      </c>
      <c r="B27" t="s">
        <v>4</v>
      </c>
      <c r="C27" t="s">
        <v>15</v>
      </c>
      <c r="D27">
        <v>113779</v>
      </c>
      <c r="E27" t="s">
        <v>6</v>
      </c>
      <c r="F27" t="s">
        <v>7</v>
      </c>
      <c r="G27" t="s">
        <v>8</v>
      </c>
      <c r="I27" s="8" t="s">
        <v>314</v>
      </c>
      <c r="J27" s="6"/>
      <c r="K27" s="6">
        <v>-3391</v>
      </c>
      <c r="L27" s="6">
        <v>-2910</v>
      </c>
      <c r="M27" s="6">
        <v>-6301</v>
      </c>
    </row>
    <row r="28" spans="1:13" x14ac:dyDescent="0.25">
      <c r="A28" t="s">
        <v>36</v>
      </c>
      <c r="B28" t="s">
        <v>4</v>
      </c>
      <c r="C28" t="s">
        <v>25</v>
      </c>
      <c r="D28">
        <v>109623</v>
      </c>
      <c r="E28" t="s">
        <v>6</v>
      </c>
      <c r="F28" t="s">
        <v>7</v>
      </c>
      <c r="G28" t="s">
        <v>8</v>
      </c>
      <c r="I28" s="8" t="s">
        <v>243</v>
      </c>
      <c r="J28" s="6">
        <v>86</v>
      </c>
      <c r="K28" s="6"/>
      <c r="L28" s="6">
        <v>2336</v>
      </c>
      <c r="M28" s="6">
        <v>2422</v>
      </c>
    </row>
    <row r="29" spans="1:13" x14ac:dyDescent="0.25">
      <c r="A29" t="s">
        <v>37</v>
      </c>
      <c r="B29" t="s">
        <v>4</v>
      </c>
      <c r="C29" t="s">
        <v>5</v>
      </c>
      <c r="D29">
        <v>108405</v>
      </c>
      <c r="E29" t="s">
        <v>6</v>
      </c>
      <c r="F29" t="s">
        <v>7</v>
      </c>
      <c r="G29" t="s">
        <v>8</v>
      </c>
      <c r="I29" s="8" t="s">
        <v>185</v>
      </c>
      <c r="J29" s="6">
        <v>1073</v>
      </c>
      <c r="K29" s="6"/>
      <c r="L29" s="6">
        <v>7465</v>
      </c>
      <c r="M29" s="6">
        <v>8538</v>
      </c>
    </row>
    <row r="30" spans="1:13" x14ac:dyDescent="0.25">
      <c r="A30" t="s">
        <v>38</v>
      </c>
      <c r="B30" t="s">
        <v>4</v>
      </c>
      <c r="C30" t="s">
        <v>15</v>
      </c>
      <c r="D30">
        <v>103859</v>
      </c>
      <c r="E30" t="s">
        <v>6</v>
      </c>
      <c r="F30" t="s">
        <v>7</v>
      </c>
      <c r="G30" t="s">
        <v>8</v>
      </c>
      <c r="I30" s="8" t="s">
        <v>71</v>
      </c>
      <c r="J30" s="6">
        <v>1310</v>
      </c>
      <c r="K30" s="6"/>
      <c r="L30" s="6">
        <v>51469</v>
      </c>
      <c r="M30" s="6">
        <v>52779</v>
      </c>
    </row>
    <row r="31" spans="1:13" x14ac:dyDescent="0.25">
      <c r="A31" t="s">
        <v>39</v>
      </c>
      <c r="B31" t="s">
        <v>4</v>
      </c>
      <c r="C31" t="s">
        <v>25</v>
      </c>
      <c r="D31">
        <v>96637</v>
      </c>
      <c r="E31" t="s">
        <v>6</v>
      </c>
      <c r="F31" t="s">
        <v>7</v>
      </c>
      <c r="G31" t="s">
        <v>8</v>
      </c>
      <c r="I31" s="8" t="s">
        <v>151</v>
      </c>
      <c r="J31" s="6">
        <v>569</v>
      </c>
      <c r="K31" s="6"/>
      <c r="L31" s="6">
        <v>17579</v>
      </c>
      <c r="M31" s="6">
        <v>18148</v>
      </c>
    </row>
    <row r="32" spans="1:13" x14ac:dyDescent="0.25">
      <c r="A32" t="s">
        <v>40</v>
      </c>
      <c r="B32" t="s">
        <v>4</v>
      </c>
      <c r="C32" t="s">
        <v>15</v>
      </c>
      <c r="D32">
        <v>96262</v>
      </c>
      <c r="E32" t="s">
        <v>6</v>
      </c>
      <c r="F32" t="s">
        <v>7</v>
      </c>
      <c r="G32" t="s">
        <v>8</v>
      </c>
      <c r="I32" s="8" t="s">
        <v>90</v>
      </c>
      <c r="J32" s="6"/>
      <c r="K32" s="6"/>
      <c r="L32" s="6">
        <v>29184</v>
      </c>
      <c r="M32" s="6">
        <v>29184</v>
      </c>
    </row>
    <row r="33" spans="1:13" x14ac:dyDescent="0.25">
      <c r="A33" t="s">
        <v>41</v>
      </c>
      <c r="B33" t="s">
        <v>4</v>
      </c>
      <c r="C33" t="s">
        <v>15</v>
      </c>
      <c r="D33">
        <v>95560</v>
      </c>
      <c r="E33" t="s">
        <v>6</v>
      </c>
      <c r="F33" t="s">
        <v>7</v>
      </c>
      <c r="G33" t="s">
        <v>8</v>
      </c>
      <c r="I33" s="8" t="s">
        <v>125</v>
      </c>
      <c r="J33" s="6">
        <v>400</v>
      </c>
      <c r="K33" s="6"/>
      <c r="L33" s="6">
        <v>19787</v>
      </c>
      <c r="M33" s="6">
        <v>20187</v>
      </c>
    </row>
    <row r="34" spans="1:13" x14ac:dyDescent="0.25">
      <c r="A34" t="s">
        <v>42</v>
      </c>
      <c r="B34" t="s">
        <v>4</v>
      </c>
      <c r="C34" t="s">
        <v>25</v>
      </c>
      <c r="D34">
        <v>91726</v>
      </c>
      <c r="E34" t="s">
        <v>6</v>
      </c>
      <c r="F34" t="s">
        <v>7</v>
      </c>
      <c r="G34" t="s">
        <v>8</v>
      </c>
      <c r="I34" s="8" t="s">
        <v>113</v>
      </c>
      <c r="J34" s="6">
        <v>14644</v>
      </c>
      <c r="K34" s="6">
        <v>-50</v>
      </c>
      <c r="L34" s="6">
        <v>70122</v>
      </c>
      <c r="M34" s="6">
        <v>84716</v>
      </c>
    </row>
    <row r="35" spans="1:13" x14ac:dyDescent="0.25">
      <c r="A35" t="s">
        <v>43</v>
      </c>
      <c r="B35" t="s">
        <v>4</v>
      </c>
      <c r="C35" t="s">
        <v>15</v>
      </c>
      <c r="D35">
        <v>91375</v>
      </c>
      <c r="E35" t="s">
        <v>6</v>
      </c>
      <c r="F35" t="s">
        <v>7</v>
      </c>
      <c r="G35" t="s">
        <v>8</v>
      </c>
      <c r="I35" s="8" t="s">
        <v>149</v>
      </c>
      <c r="J35" s="6">
        <v>491</v>
      </c>
      <c r="K35" s="6"/>
      <c r="L35" s="6">
        <v>38019</v>
      </c>
      <c r="M35" s="6">
        <v>38510</v>
      </c>
    </row>
    <row r="36" spans="1:13" x14ac:dyDescent="0.25">
      <c r="A36" t="s">
        <v>44</v>
      </c>
      <c r="B36" t="s">
        <v>4</v>
      </c>
      <c r="C36" t="s">
        <v>15</v>
      </c>
      <c r="D36">
        <v>88373</v>
      </c>
      <c r="E36" t="s">
        <v>6</v>
      </c>
      <c r="F36" t="s">
        <v>7</v>
      </c>
      <c r="G36" t="s">
        <v>8</v>
      </c>
      <c r="I36" s="8" t="s">
        <v>176</v>
      </c>
      <c r="J36" s="6">
        <v>1347</v>
      </c>
      <c r="K36" s="6"/>
      <c r="L36" s="6">
        <v>14102</v>
      </c>
      <c r="M36" s="6">
        <v>15449</v>
      </c>
    </row>
    <row r="37" spans="1:13" x14ac:dyDescent="0.25">
      <c r="A37" t="s">
        <v>45</v>
      </c>
      <c r="B37" t="s">
        <v>4</v>
      </c>
      <c r="C37" t="s">
        <v>15</v>
      </c>
      <c r="D37">
        <v>79962</v>
      </c>
      <c r="E37" t="s">
        <v>6</v>
      </c>
      <c r="F37" t="s">
        <v>7</v>
      </c>
      <c r="G37" t="s">
        <v>8</v>
      </c>
      <c r="I37" s="8" t="s">
        <v>51</v>
      </c>
      <c r="J37" s="6">
        <v>14641</v>
      </c>
      <c r="K37" s="6"/>
      <c r="L37" s="6">
        <v>213689</v>
      </c>
      <c r="M37" s="6">
        <v>228330</v>
      </c>
    </row>
    <row r="38" spans="1:13" x14ac:dyDescent="0.25">
      <c r="A38" t="s">
        <v>46</v>
      </c>
      <c r="B38" t="s">
        <v>4</v>
      </c>
      <c r="C38" t="s">
        <v>15</v>
      </c>
      <c r="D38">
        <v>76538</v>
      </c>
      <c r="E38" t="s">
        <v>6</v>
      </c>
      <c r="F38" t="s">
        <v>7</v>
      </c>
      <c r="G38" t="s">
        <v>8</v>
      </c>
      <c r="I38" s="8" t="s">
        <v>64</v>
      </c>
      <c r="J38" s="6">
        <v>5791</v>
      </c>
      <c r="K38" s="6"/>
      <c r="L38" s="6">
        <v>43253</v>
      </c>
      <c r="M38" s="6">
        <v>49044</v>
      </c>
    </row>
    <row r="39" spans="1:13" x14ac:dyDescent="0.25">
      <c r="A39" t="s">
        <v>47</v>
      </c>
      <c r="B39" t="s">
        <v>48</v>
      </c>
      <c r="C39" t="s">
        <v>49</v>
      </c>
      <c r="D39">
        <v>76466</v>
      </c>
      <c r="E39" t="s">
        <v>6</v>
      </c>
      <c r="F39" t="s">
        <v>7</v>
      </c>
      <c r="G39" t="s">
        <v>8</v>
      </c>
      <c r="I39" s="8" t="s">
        <v>203</v>
      </c>
      <c r="J39" s="6"/>
      <c r="K39" s="6">
        <v>-53841</v>
      </c>
      <c r="L39" s="6">
        <v>-96046</v>
      </c>
      <c r="M39" s="6">
        <v>-149887</v>
      </c>
    </row>
    <row r="40" spans="1:13" x14ac:dyDescent="0.25">
      <c r="A40" t="s">
        <v>50</v>
      </c>
      <c r="B40" t="s">
        <v>48</v>
      </c>
      <c r="C40" t="s">
        <v>51</v>
      </c>
      <c r="D40">
        <v>71809</v>
      </c>
      <c r="E40" t="s">
        <v>6</v>
      </c>
      <c r="F40" t="s">
        <v>7</v>
      </c>
      <c r="G40" t="s">
        <v>8</v>
      </c>
      <c r="I40" s="8" t="s">
        <v>211</v>
      </c>
      <c r="J40" s="6">
        <v>320</v>
      </c>
      <c r="K40" s="6"/>
      <c r="L40" s="6">
        <v>4711</v>
      </c>
      <c r="M40" s="6">
        <v>5031</v>
      </c>
    </row>
    <row r="41" spans="1:13" x14ac:dyDescent="0.25">
      <c r="A41" t="s">
        <v>52</v>
      </c>
      <c r="B41" t="s">
        <v>48</v>
      </c>
      <c r="C41" t="s">
        <v>51</v>
      </c>
      <c r="D41">
        <v>71723</v>
      </c>
      <c r="E41" t="s">
        <v>6</v>
      </c>
      <c r="F41" t="s">
        <v>7</v>
      </c>
      <c r="G41" t="s">
        <v>8</v>
      </c>
      <c r="I41" s="8" t="s">
        <v>5</v>
      </c>
      <c r="J41" s="6">
        <v>6458</v>
      </c>
      <c r="K41" s="6">
        <v>-720035</v>
      </c>
      <c r="L41" s="6">
        <v>5621622</v>
      </c>
      <c r="M41" s="6">
        <v>4908045</v>
      </c>
    </row>
    <row r="42" spans="1:13" x14ac:dyDescent="0.25">
      <c r="A42" t="s">
        <v>53</v>
      </c>
      <c r="B42" t="s">
        <v>48</v>
      </c>
      <c r="C42" t="s">
        <v>51</v>
      </c>
      <c r="D42">
        <v>70157</v>
      </c>
      <c r="E42" t="s">
        <v>6</v>
      </c>
      <c r="F42" t="s">
        <v>7</v>
      </c>
      <c r="G42" t="s">
        <v>8</v>
      </c>
      <c r="I42" s="8" t="s">
        <v>86</v>
      </c>
      <c r="J42" s="6">
        <v>1632</v>
      </c>
      <c r="K42" s="6"/>
      <c r="L42" s="6">
        <v>259972</v>
      </c>
      <c r="M42" s="6">
        <v>261604</v>
      </c>
    </row>
    <row r="43" spans="1:13" x14ac:dyDescent="0.25">
      <c r="A43" t="s">
        <v>54</v>
      </c>
      <c r="B43" t="s">
        <v>4</v>
      </c>
      <c r="C43" t="s">
        <v>15</v>
      </c>
      <c r="D43">
        <v>64864</v>
      </c>
      <c r="E43" t="s">
        <v>6</v>
      </c>
      <c r="F43" t="s">
        <v>7</v>
      </c>
      <c r="G43" t="s">
        <v>8</v>
      </c>
      <c r="I43" s="8" t="s">
        <v>171</v>
      </c>
      <c r="J43" s="6">
        <v>504</v>
      </c>
      <c r="K43" s="6"/>
      <c r="L43" s="6">
        <v>37747</v>
      </c>
      <c r="M43" s="6">
        <v>38251</v>
      </c>
    </row>
    <row r="44" spans="1:13" x14ac:dyDescent="0.25">
      <c r="A44" t="s">
        <v>55</v>
      </c>
      <c r="B44" t="s">
        <v>4</v>
      </c>
      <c r="C44" t="s">
        <v>5</v>
      </c>
      <c r="D44">
        <v>64296</v>
      </c>
      <c r="E44" t="s">
        <v>6</v>
      </c>
      <c r="F44" t="s">
        <v>7</v>
      </c>
      <c r="G44" t="s">
        <v>8</v>
      </c>
      <c r="I44" s="8" t="s">
        <v>222</v>
      </c>
      <c r="J44" s="6">
        <v>190</v>
      </c>
      <c r="K44" s="6"/>
      <c r="L44" s="6">
        <v>4007</v>
      </c>
      <c r="M44" s="6">
        <v>4197</v>
      </c>
    </row>
    <row r="45" spans="1:13" x14ac:dyDescent="0.25">
      <c r="A45" t="s">
        <v>56</v>
      </c>
      <c r="B45" t="s">
        <v>4</v>
      </c>
      <c r="C45" t="s">
        <v>5</v>
      </c>
      <c r="D45">
        <v>63368</v>
      </c>
      <c r="E45" t="s">
        <v>6</v>
      </c>
      <c r="F45" t="s">
        <v>7</v>
      </c>
      <c r="G45" t="s">
        <v>8</v>
      </c>
      <c r="I45" s="8" t="s">
        <v>15</v>
      </c>
      <c r="J45" s="6"/>
      <c r="K45" s="6">
        <v>-331989</v>
      </c>
      <c r="L45" s="6">
        <v>3143063</v>
      </c>
      <c r="M45" s="6">
        <v>2811074</v>
      </c>
    </row>
    <row r="46" spans="1:13" x14ac:dyDescent="0.25">
      <c r="A46" t="s">
        <v>57</v>
      </c>
      <c r="B46" t="s">
        <v>4</v>
      </c>
      <c r="C46" t="s">
        <v>5</v>
      </c>
      <c r="D46">
        <v>58823</v>
      </c>
      <c r="E46" t="s">
        <v>6</v>
      </c>
      <c r="F46" t="s">
        <v>7</v>
      </c>
      <c r="G46" t="s">
        <v>8</v>
      </c>
      <c r="I46" s="8" t="s">
        <v>168</v>
      </c>
      <c r="J46" s="6">
        <v>154</v>
      </c>
      <c r="K46" s="6">
        <v>-2210</v>
      </c>
      <c r="L46" s="6">
        <v>-170561</v>
      </c>
      <c r="M46" s="6">
        <v>-172617</v>
      </c>
    </row>
    <row r="47" spans="1:13" x14ac:dyDescent="0.25">
      <c r="A47" t="s">
        <v>58</v>
      </c>
      <c r="B47" t="s">
        <v>4</v>
      </c>
      <c r="C47" t="s">
        <v>15</v>
      </c>
      <c r="D47">
        <v>58471</v>
      </c>
      <c r="E47" t="s">
        <v>6</v>
      </c>
      <c r="F47" t="s">
        <v>7</v>
      </c>
      <c r="G47" t="s">
        <v>8</v>
      </c>
      <c r="I47" s="8" t="s">
        <v>216</v>
      </c>
      <c r="J47" s="6">
        <v>207</v>
      </c>
      <c r="K47" s="6"/>
      <c r="L47" s="6">
        <v>14269</v>
      </c>
      <c r="M47" s="6">
        <v>14476</v>
      </c>
    </row>
    <row r="48" spans="1:13" x14ac:dyDescent="0.25">
      <c r="A48" t="s">
        <v>59</v>
      </c>
      <c r="B48" t="s">
        <v>4</v>
      </c>
      <c r="C48" t="s">
        <v>15</v>
      </c>
      <c r="D48">
        <v>56801</v>
      </c>
      <c r="E48" t="s">
        <v>6</v>
      </c>
      <c r="F48" t="s">
        <v>7</v>
      </c>
      <c r="G48" t="s">
        <v>8</v>
      </c>
      <c r="I48" s="8" t="s">
        <v>76</v>
      </c>
      <c r="J48" s="6">
        <v>33369</v>
      </c>
      <c r="K48" s="6"/>
      <c r="L48" s="6">
        <v>122604</v>
      </c>
      <c r="M48" s="6">
        <v>155973</v>
      </c>
    </row>
    <row r="49" spans="1:13" x14ac:dyDescent="0.25">
      <c r="A49" t="s">
        <v>60</v>
      </c>
      <c r="B49" t="s">
        <v>4</v>
      </c>
      <c r="C49" t="s">
        <v>5</v>
      </c>
      <c r="D49">
        <v>55843</v>
      </c>
      <c r="E49" t="s">
        <v>6</v>
      </c>
      <c r="F49" t="s">
        <v>7</v>
      </c>
      <c r="G49" t="s">
        <v>8</v>
      </c>
      <c r="I49" s="8" t="s">
        <v>219</v>
      </c>
      <c r="J49" s="6">
        <v>2177</v>
      </c>
      <c r="K49" s="6"/>
      <c r="L49" s="6">
        <v>9985</v>
      </c>
      <c r="M49" s="6">
        <v>12162</v>
      </c>
    </row>
    <row r="50" spans="1:13" x14ac:dyDescent="0.25">
      <c r="A50" t="s">
        <v>61</v>
      </c>
      <c r="B50" t="s">
        <v>4</v>
      </c>
      <c r="C50" t="s">
        <v>15</v>
      </c>
      <c r="D50">
        <v>54610</v>
      </c>
      <c r="E50" t="s">
        <v>6</v>
      </c>
      <c r="F50" t="s">
        <v>7</v>
      </c>
      <c r="G50" t="s">
        <v>8</v>
      </c>
      <c r="I50" s="8" t="s">
        <v>99</v>
      </c>
      <c r="J50" s="6">
        <v>9155</v>
      </c>
      <c r="K50" s="6"/>
      <c r="L50" s="6">
        <v>52041</v>
      </c>
      <c r="M50" s="6">
        <v>61196</v>
      </c>
    </row>
    <row r="51" spans="1:13" x14ac:dyDescent="0.25">
      <c r="A51" t="s">
        <v>62</v>
      </c>
      <c r="B51" t="s">
        <v>4</v>
      </c>
      <c r="C51" t="s">
        <v>15</v>
      </c>
      <c r="D51">
        <v>50397</v>
      </c>
      <c r="E51" t="s">
        <v>6</v>
      </c>
      <c r="F51" t="s">
        <v>7</v>
      </c>
      <c r="G51" t="s">
        <v>8</v>
      </c>
      <c r="I51" s="8" t="s">
        <v>84</v>
      </c>
      <c r="J51" s="6">
        <v>5</v>
      </c>
      <c r="K51" s="6"/>
      <c r="L51" s="6">
        <v>154044</v>
      </c>
      <c r="M51" s="6">
        <v>154049</v>
      </c>
    </row>
    <row r="52" spans="1:13" x14ac:dyDescent="0.25">
      <c r="A52" t="s">
        <v>63</v>
      </c>
      <c r="B52" t="s">
        <v>48</v>
      </c>
      <c r="C52" t="s">
        <v>64</v>
      </c>
      <c r="D52">
        <v>43253</v>
      </c>
      <c r="E52" t="s">
        <v>6</v>
      </c>
      <c r="F52" t="s">
        <v>7</v>
      </c>
      <c r="G52" t="s">
        <v>8</v>
      </c>
      <c r="I52" s="8" t="s">
        <v>25</v>
      </c>
      <c r="J52" s="6"/>
      <c r="K52" s="6">
        <v>-925413</v>
      </c>
      <c r="L52" s="6">
        <v>1142688</v>
      </c>
      <c r="M52" s="6">
        <v>217275</v>
      </c>
    </row>
    <row r="53" spans="1:13" x14ac:dyDescent="0.25">
      <c r="A53" t="s">
        <v>65</v>
      </c>
      <c r="B53" t="s">
        <v>4</v>
      </c>
      <c r="C53" t="s">
        <v>25</v>
      </c>
      <c r="D53">
        <v>43060</v>
      </c>
      <c r="E53" t="s">
        <v>6</v>
      </c>
      <c r="F53" t="s">
        <v>7</v>
      </c>
      <c r="G53" t="s">
        <v>8</v>
      </c>
      <c r="I53" s="8" t="s">
        <v>280</v>
      </c>
      <c r="J53" s="6"/>
      <c r="K53" s="6">
        <v>-7128</v>
      </c>
      <c r="L53" s="6">
        <v>1554</v>
      </c>
      <c r="M53" s="6">
        <v>-5574</v>
      </c>
    </row>
    <row r="54" spans="1:13" x14ac:dyDescent="0.25">
      <c r="A54" t="s">
        <v>66</v>
      </c>
      <c r="B54" t="s">
        <v>4</v>
      </c>
      <c r="C54" t="s">
        <v>15</v>
      </c>
      <c r="D54">
        <v>41403</v>
      </c>
      <c r="E54" t="s">
        <v>6</v>
      </c>
      <c r="F54" t="s">
        <v>7</v>
      </c>
      <c r="G54" t="s">
        <v>8</v>
      </c>
      <c r="I54" s="8" t="s">
        <v>80</v>
      </c>
      <c r="J54" s="6">
        <v>28851</v>
      </c>
      <c r="K54" s="6"/>
      <c r="L54" s="6">
        <v>70617</v>
      </c>
      <c r="M54" s="6">
        <v>99468</v>
      </c>
    </row>
    <row r="55" spans="1:13" x14ac:dyDescent="0.25">
      <c r="A55" t="s">
        <v>67</v>
      </c>
      <c r="B55" t="s">
        <v>68</v>
      </c>
      <c r="C55" t="s">
        <v>69</v>
      </c>
      <c r="D55">
        <v>40224</v>
      </c>
      <c r="E55" t="s">
        <v>6</v>
      </c>
      <c r="F55" t="s">
        <v>7</v>
      </c>
      <c r="G55" t="s">
        <v>8</v>
      </c>
      <c r="I55" s="8" t="s">
        <v>69</v>
      </c>
      <c r="J55" s="6">
        <v>4404</v>
      </c>
      <c r="K55" s="6"/>
      <c r="L55" s="6">
        <v>171641</v>
      </c>
      <c r="M55" s="6">
        <v>176045</v>
      </c>
    </row>
    <row r="56" spans="1:13" x14ac:dyDescent="0.25">
      <c r="A56" t="s">
        <v>70</v>
      </c>
      <c r="B56" t="s">
        <v>68</v>
      </c>
      <c r="C56" t="s">
        <v>71</v>
      </c>
      <c r="D56">
        <v>37086</v>
      </c>
      <c r="E56" t="s">
        <v>6</v>
      </c>
      <c r="F56" t="s">
        <v>7</v>
      </c>
      <c r="G56" t="s">
        <v>8</v>
      </c>
      <c r="I56" s="8" t="s">
        <v>412</v>
      </c>
      <c r="J56" s="6">
        <v>150983</v>
      </c>
      <c r="K56" s="6">
        <v>-2044057</v>
      </c>
      <c r="L56" s="6">
        <v>11264982</v>
      </c>
      <c r="M56" s="6">
        <v>9371908</v>
      </c>
    </row>
    <row r="57" spans="1:13" x14ac:dyDescent="0.25">
      <c r="A57" t="s">
        <v>72</v>
      </c>
      <c r="B57" t="s">
        <v>4</v>
      </c>
      <c r="C57" t="s">
        <v>5</v>
      </c>
      <c r="D57">
        <v>37020</v>
      </c>
      <c r="E57" t="s">
        <v>6</v>
      </c>
      <c r="F57" t="s">
        <v>7</v>
      </c>
      <c r="G57" t="s">
        <v>8</v>
      </c>
    </row>
    <row r="58" spans="1:13" x14ac:dyDescent="0.25">
      <c r="A58" t="s">
        <v>73</v>
      </c>
      <c r="B58" t="s">
        <v>4</v>
      </c>
      <c r="C58" t="s">
        <v>5</v>
      </c>
      <c r="D58">
        <v>36723</v>
      </c>
      <c r="E58" t="s">
        <v>6</v>
      </c>
      <c r="F58" t="s">
        <v>7</v>
      </c>
      <c r="G58" t="s">
        <v>8</v>
      </c>
    </row>
    <row r="59" spans="1:13" x14ac:dyDescent="0.25">
      <c r="A59" t="s">
        <v>74</v>
      </c>
      <c r="B59" t="s">
        <v>75</v>
      </c>
      <c r="C59" t="s">
        <v>76</v>
      </c>
      <c r="D59">
        <v>36388</v>
      </c>
      <c r="E59" t="s">
        <v>6</v>
      </c>
      <c r="F59" t="s">
        <v>7</v>
      </c>
      <c r="G59" t="s">
        <v>8</v>
      </c>
    </row>
    <row r="60" spans="1:13" x14ac:dyDescent="0.25">
      <c r="A60" t="s">
        <v>77</v>
      </c>
      <c r="B60" t="s">
        <v>4</v>
      </c>
      <c r="C60" t="s">
        <v>5</v>
      </c>
      <c r="D60">
        <v>36029</v>
      </c>
      <c r="E60" t="s">
        <v>6</v>
      </c>
      <c r="F60" t="s">
        <v>7</v>
      </c>
      <c r="G60" t="s">
        <v>8</v>
      </c>
    </row>
    <row r="61" spans="1:13" x14ac:dyDescent="0.25">
      <c r="A61" t="s">
        <v>78</v>
      </c>
      <c r="B61" t="s">
        <v>75</v>
      </c>
      <c r="C61" t="s">
        <v>76</v>
      </c>
      <c r="D61">
        <v>34325</v>
      </c>
      <c r="E61" t="s">
        <v>6</v>
      </c>
      <c r="F61" t="s">
        <v>7</v>
      </c>
      <c r="G61" t="s">
        <v>8</v>
      </c>
    </row>
    <row r="62" spans="1:13" x14ac:dyDescent="0.25">
      <c r="A62" t="s">
        <v>79</v>
      </c>
      <c r="B62" t="s">
        <v>75</v>
      </c>
      <c r="C62" t="s">
        <v>80</v>
      </c>
      <c r="D62">
        <v>33385</v>
      </c>
      <c r="E62" t="s">
        <v>6</v>
      </c>
      <c r="F62" t="s">
        <v>7</v>
      </c>
      <c r="G62" t="s">
        <v>8</v>
      </c>
    </row>
    <row r="63" spans="1:13" x14ac:dyDescent="0.25">
      <c r="A63" t="s">
        <v>81</v>
      </c>
      <c r="B63" t="s">
        <v>4</v>
      </c>
      <c r="C63" t="s">
        <v>25</v>
      </c>
      <c r="D63">
        <v>33307</v>
      </c>
      <c r="E63" t="s">
        <v>6</v>
      </c>
      <c r="F63" t="s">
        <v>7</v>
      </c>
      <c r="G63" t="s">
        <v>8</v>
      </c>
    </row>
    <row r="64" spans="1:13" x14ac:dyDescent="0.25">
      <c r="A64" t="s">
        <v>82</v>
      </c>
      <c r="B64" t="s">
        <v>4</v>
      </c>
      <c r="C64" t="s">
        <v>5</v>
      </c>
      <c r="D64">
        <v>32808</v>
      </c>
      <c r="E64" t="s">
        <v>6</v>
      </c>
      <c r="F64" t="s">
        <v>7</v>
      </c>
      <c r="G64" t="s">
        <v>8</v>
      </c>
    </row>
    <row r="65" spans="1:7" x14ac:dyDescent="0.25">
      <c r="A65" t="s">
        <v>83</v>
      </c>
      <c r="B65" t="s">
        <v>48</v>
      </c>
      <c r="C65" t="s">
        <v>84</v>
      </c>
      <c r="D65">
        <v>30586</v>
      </c>
      <c r="E65" t="s">
        <v>6</v>
      </c>
      <c r="F65" t="s">
        <v>7</v>
      </c>
      <c r="G65" t="s">
        <v>8</v>
      </c>
    </row>
    <row r="66" spans="1:7" x14ac:dyDescent="0.25">
      <c r="A66" t="s">
        <v>85</v>
      </c>
      <c r="B66" t="s">
        <v>68</v>
      </c>
      <c r="C66" t="s">
        <v>86</v>
      </c>
      <c r="D66">
        <v>29345</v>
      </c>
      <c r="E66" t="s">
        <v>6</v>
      </c>
      <c r="F66" t="s">
        <v>7</v>
      </c>
      <c r="G66" t="s">
        <v>8</v>
      </c>
    </row>
    <row r="67" spans="1:7" x14ac:dyDescent="0.25">
      <c r="A67" t="s">
        <v>87</v>
      </c>
      <c r="B67" t="s">
        <v>75</v>
      </c>
      <c r="C67" t="s">
        <v>80</v>
      </c>
      <c r="D67">
        <v>29308</v>
      </c>
      <c r="E67" t="s">
        <v>6</v>
      </c>
      <c r="F67" t="s">
        <v>7</v>
      </c>
      <c r="G67" t="s">
        <v>8</v>
      </c>
    </row>
    <row r="68" spans="1:7" x14ac:dyDescent="0.25">
      <c r="A68" t="s">
        <v>88</v>
      </c>
      <c r="B68" t="s">
        <v>68</v>
      </c>
      <c r="C68" t="s">
        <v>69</v>
      </c>
      <c r="D68">
        <v>29194</v>
      </c>
      <c r="E68" t="s">
        <v>6</v>
      </c>
      <c r="F68" t="s">
        <v>7</v>
      </c>
      <c r="G68" t="s">
        <v>8</v>
      </c>
    </row>
    <row r="69" spans="1:7" x14ac:dyDescent="0.25">
      <c r="A69" t="s">
        <v>89</v>
      </c>
      <c r="B69" t="s">
        <v>48</v>
      </c>
      <c r="C69" t="s">
        <v>90</v>
      </c>
      <c r="D69">
        <v>29184</v>
      </c>
      <c r="E69" t="s">
        <v>6</v>
      </c>
      <c r="F69" t="s">
        <v>7</v>
      </c>
      <c r="G69" t="s">
        <v>8</v>
      </c>
    </row>
    <row r="70" spans="1:7" x14ac:dyDescent="0.25">
      <c r="A70" t="s">
        <v>91</v>
      </c>
      <c r="B70" t="s">
        <v>68</v>
      </c>
      <c r="C70" t="s">
        <v>86</v>
      </c>
      <c r="D70">
        <v>28783</v>
      </c>
      <c r="E70" t="s">
        <v>6</v>
      </c>
      <c r="F70" t="s">
        <v>7</v>
      </c>
      <c r="G70" t="s">
        <v>8</v>
      </c>
    </row>
    <row r="71" spans="1:7" x14ac:dyDescent="0.25">
      <c r="A71" t="s">
        <v>92</v>
      </c>
      <c r="B71" t="s">
        <v>68</v>
      </c>
      <c r="C71" t="s">
        <v>69</v>
      </c>
      <c r="D71">
        <v>28704</v>
      </c>
      <c r="E71" t="s">
        <v>6</v>
      </c>
      <c r="F71" t="s">
        <v>7</v>
      </c>
      <c r="G71" t="s">
        <v>8</v>
      </c>
    </row>
    <row r="72" spans="1:7" x14ac:dyDescent="0.25">
      <c r="A72" t="s">
        <v>93</v>
      </c>
      <c r="B72" t="s">
        <v>75</v>
      </c>
      <c r="C72" t="s">
        <v>76</v>
      </c>
      <c r="D72">
        <v>27871</v>
      </c>
      <c r="E72" t="s">
        <v>6</v>
      </c>
      <c r="F72" t="s">
        <v>7</v>
      </c>
      <c r="G72" t="s">
        <v>8</v>
      </c>
    </row>
    <row r="73" spans="1:7" x14ac:dyDescent="0.25">
      <c r="A73" t="s">
        <v>94</v>
      </c>
      <c r="B73" t="s">
        <v>4</v>
      </c>
      <c r="C73" t="s">
        <v>5</v>
      </c>
      <c r="D73">
        <v>25303</v>
      </c>
      <c r="E73" t="s">
        <v>6</v>
      </c>
      <c r="F73" t="s">
        <v>7</v>
      </c>
      <c r="G73" t="s">
        <v>8</v>
      </c>
    </row>
    <row r="74" spans="1:7" x14ac:dyDescent="0.25">
      <c r="A74" t="s">
        <v>95</v>
      </c>
      <c r="B74" t="s">
        <v>48</v>
      </c>
      <c r="C74" t="s">
        <v>96</v>
      </c>
      <c r="D74">
        <v>24784</v>
      </c>
      <c r="E74" t="s">
        <v>6</v>
      </c>
      <c r="F74" t="s">
        <v>7</v>
      </c>
      <c r="G74" t="s">
        <v>8</v>
      </c>
    </row>
    <row r="75" spans="1:7" x14ac:dyDescent="0.25">
      <c r="A75" t="s">
        <v>97</v>
      </c>
      <c r="B75" t="s">
        <v>4</v>
      </c>
      <c r="C75" t="s">
        <v>5</v>
      </c>
      <c r="D75">
        <v>23958</v>
      </c>
      <c r="E75" t="s">
        <v>6</v>
      </c>
      <c r="F75" t="s">
        <v>7</v>
      </c>
      <c r="G75" t="s">
        <v>8</v>
      </c>
    </row>
    <row r="76" spans="1:7" x14ac:dyDescent="0.25">
      <c r="A76" t="s">
        <v>98</v>
      </c>
      <c r="B76" t="s">
        <v>75</v>
      </c>
      <c r="C76" t="s">
        <v>99</v>
      </c>
      <c r="D76">
        <v>23930</v>
      </c>
      <c r="E76" t="s">
        <v>6</v>
      </c>
      <c r="F76" t="s">
        <v>7</v>
      </c>
      <c r="G76" t="s">
        <v>8</v>
      </c>
    </row>
    <row r="77" spans="1:7" x14ac:dyDescent="0.25">
      <c r="A77" t="s">
        <v>100</v>
      </c>
      <c r="B77" t="s">
        <v>4</v>
      </c>
      <c r="C77" t="s">
        <v>15</v>
      </c>
      <c r="D77">
        <v>23636</v>
      </c>
      <c r="E77" t="s">
        <v>6</v>
      </c>
      <c r="F77" t="s">
        <v>7</v>
      </c>
      <c r="G77" t="s">
        <v>8</v>
      </c>
    </row>
    <row r="78" spans="1:7" x14ac:dyDescent="0.25">
      <c r="A78" t="s">
        <v>101</v>
      </c>
      <c r="B78" t="s">
        <v>75</v>
      </c>
      <c r="C78" t="s">
        <v>102</v>
      </c>
      <c r="D78">
        <v>23161</v>
      </c>
      <c r="E78" t="s">
        <v>6</v>
      </c>
      <c r="F78" t="s">
        <v>7</v>
      </c>
      <c r="G78" t="s">
        <v>8</v>
      </c>
    </row>
    <row r="79" spans="1:7" x14ac:dyDescent="0.25">
      <c r="A79" t="s">
        <v>103</v>
      </c>
      <c r="B79" t="s">
        <v>4</v>
      </c>
      <c r="C79" t="s">
        <v>5</v>
      </c>
      <c r="D79">
        <v>22823</v>
      </c>
      <c r="E79" t="s">
        <v>6</v>
      </c>
      <c r="F79" t="s">
        <v>7</v>
      </c>
      <c r="G79" t="s">
        <v>8</v>
      </c>
    </row>
    <row r="80" spans="1:7" x14ac:dyDescent="0.25">
      <c r="A80" t="s">
        <v>104</v>
      </c>
      <c r="B80" t="s">
        <v>4</v>
      </c>
      <c r="C80" t="s">
        <v>5</v>
      </c>
      <c r="D80">
        <v>22718</v>
      </c>
      <c r="E80" t="s">
        <v>6</v>
      </c>
      <c r="F80" t="s">
        <v>7</v>
      </c>
      <c r="G80" t="s">
        <v>8</v>
      </c>
    </row>
    <row r="81" spans="1:7" x14ac:dyDescent="0.25">
      <c r="A81" t="s">
        <v>105</v>
      </c>
      <c r="B81" t="s">
        <v>75</v>
      </c>
      <c r="C81" t="s">
        <v>99</v>
      </c>
      <c r="D81">
        <v>22571</v>
      </c>
      <c r="E81" t="s">
        <v>6</v>
      </c>
      <c r="F81" t="s">
        <v>7</v>
      </c>
      <c r="G81" t="s">
        <v>8</v>
      </c>
    </row>
    <row r="82" spans="1:7" x14ac:dyDescent="0.25">
      <c r="A82" t="s">
        <v>106</v>
      </c>
      <c r="B82" t="s">
        <v>4</v>
      </c>
      <c r="C82" t="s">
        <v>5</v>
      </c>
      <c r="D82">
        <v>22019</v>
      </c>
      <c r="E82" t="s">
        <v>6</v>
      </c>
      <c r="F82" t="s">
        <v>7</v>
      </c>
      <c r="G82" t="s">
        <v>8</v>
      </c>
    </row>
    <row r="83" spans="1:7" x14ac:dyDescent="0.25">
      <c r="A83" t="s">
        <v>107</v>
      </c>
      <c r="B83" t="s">
        <v>4</v>
      </c>
      <c r="C83" t="s">
        <v>5</v>
      </c>
      <c r="D83">
        <v>21997</v>
      </c>
      <c r="E83" t="s">
        <v>6</v>
      </c>
      <c r="F83" t="s">
        <v>7</v>
      </c>
      <c r="G83" t="s">
        <v>8</v>
      </c>
    </row>
    <row r="84" spans="1:7" x14ac:dyDescent="0.25">
      <c r="A84" t="s">
        <v>108</v>
      </c>
      <c r="B84" t="s">
        <v>48</v>
      </c>
      <c r="C84" t="s">
        <v>84</v>
      </c>
      <c r="D84">
        <v>21796</v>
      </c>
      <c r="E84" t="s">
        <v>6</v>
      </c>
      <c r="F84" t="s">
        <v>7</v>
      </c>
      <c r="G84" t="s">
        <v>8</v>
      </c>
    </row>
    <row r="85" spans="1:7" x14ac:dyDescent="0.25">
      <c r="A85" t="s">
        <v>109</v>
      </c>
      <c r="B85" t="s">
        <v>68</v>
      </c>
      <c r="C85" t="s">
        <v>86</v>
      </c>
      <c r="D85">
        <v>21587</v>
      </c>
      <c r="E85" t="s">
        <v>6</v>
      </c>
      <c r="F85" t="s">
        <v>7</v>
      </c>
      <c r="G85" t="s">
        <v>8</v>
      </c>
    </row>
    <row r="86" spans="1:7" x14ac:dyDescent="0.25">
      <c r="A86" t="s">
        <v>110</v>
      </c>
      <c r="B86" t="s">
        <v>4</v>
      </c>
      <c r="C86" t="s">
        <v>5</v>
      </c>
      <c r="D86">
        <v>21557</v>
      </c>
      <c r="E86" t="s">
        <v>6</v>
      </c>
      <c r="F86" t="s">
        <v>7</v>
      </c>
      <c r="G86" t="s">
        <v>8</v>
      </c>
    </row>
    <row r="87" spans="1:7" x14ac:dyDescent="0.25">
      <c r="A87" t="s">
        <v>111</v>
      </c>
      <c r="B87" t="s">
        <v>68</v>
      </c>
      <c r="C87" t="s">
        <v>69</v>
      </c>
      <c r="D87">
        <v>20684</v>
      </c>
      <c r="E87" t="s">
        <v>6</v>
      </c>
      <c r="F87" t="s">
        <v>7</v>
      </c>
      <c r="G87" t="s">
        <v>8</v>
      </c>
    </row>
    <row r="88" spans="1:7" x14ac:dyDescent="0.25">
      <c r="A88" t="s">
        <v>112</v>
      </c>
      <c r="B88" t="s">
        <v>75</v>
      </c>
      <c r="C88" t="s">
        <v>113</v>
      </c>
      <c r="D88">
        <v>20348</v>
      </c>
      <c r="E88" t="s">
        <v>6</v>
      </c>
      <c r="F88" t="s">
        <v>7</v>
      </c>
      <c r="G88" t="s">
        <v>8</v>
      </c>
    </row>
    <row r="89" spans="1:7" x14ac:dyDescent="0.25">
      <c r="A89" t="s">
        <v>114</v>
      </c>
      <c r="B89" t="s">
        <v>4</v>
      </c>
      <c r="C89" t="s">
        <v>25</v>
      </c>
      <c r="D89">
        <v>19592</v>
      </c>
      <c r="E89" t="s">
        <v>6</v>
      </c>
      <c r="F89" t="s">
        <v>7</v>
      </c>
      <c r="G89" t="s">
        <v>8</v>
      </c>
    </row>
    <row r="90" spans="1:7" x14ac:dyDescent="0.25">
      <c r="A90" t="s">
        <v>115</v>
      </c>
      <c r="B90" t="s">
        <v>68</v>
      </c>
      <c r="C90" t="s">
        <v>86</v>
      </c>
      <c r="D90">
        <v>19357</v>
      </c>
      <c r="E90" t="s">
        <v>6</v>
      </c>
      <c r="F90" t="s">
        <v>7</v>
      </c>
      <c r="G90" t="s">
        <v>8</v>
      </c>
    </row>
    <row r="91" spans="1:7" x14ac:dyDescent="0.25">
      <c r="A91" t="s">
        <v>116</v>
      </c>
      <c r="B91" t="s">
        <v>4</v>
      </c>
      <c r="C91" t="s">
        <v>5</v>
      </c>
      <c r="D91">
        <v>18785</v>
      </c>
      <c r="E91" t="s">
        <v>6</v>
      </c>
      <c r="F91" t="s">
        <v>7</v>
      </c>
      <c r="G91" t="s">
        <v>8</v>
      </c>
    </row>
    <row r="92" spans="1:7" x14ac:dyDescent="0.25">
      <c r="A92" t="s">
        <v>117</v>
      </c>
      <c r="B92" t="s">
        <v>4</v>
      </c>
      <c r="C92" t="s">
        <v>25</v>
      </c>
      <c r="D92">
        <v>18762</v>
      </c>
      <c r="E92" t="s">
        <v>6</v>
      </c>
      <c r="F92" t="s">
        <v>7</v>
      </c>
      <c r="G92" t="s">
        <v>8</v>
      </c>
    </row>
    <row r="93" spans="1:7" x14ac:dyDescent="0.25">
      <c r="A93" t="s">
        <v>118</v>
      </c>
      <c r="B93" t="s">
        <v>4</v>
      </c>
      <c r="C93" t="s">
        <v>5</v>
      </c>
      <c r="D93">
        <v>18663</v>
      </c>
      <c r="E93" t="s">
        <v>6</v>
      </c>
      <c r="F93" t="s">
        <v>7</v>
      </c>
      <c r="G93" t="s">
        <v>8</v>
      </c>
    </row>
    <row r="94" spans="1:7" x14ac:dyDescent="0.25">
      <c r="A94" t="s">
        <v>119</v>
      </c>
      <c r="B94" t="s">
        <v>48</v>
      </c>
      <c r="C94" t="s">
        <v>84</v>
      </c>
      <c r="D94">
        <v>17510</v>
      </c>
      <c r="E94" t="s">
        <v>6</v>
      </c>
      <c r="F94" t="s">
        <v>7</v>
      </c>
      <c r="G94" t="s">
        <v>8</v>
      </c>
    </row>
    <row r="95" spans="1:7" x14ac:dyDescent="0.25">
      <c r="A95" t="s">
        <v>120</v>
      </c>
      <c r="B95" t="s">
        <v>48</v>
      </c>
      <c r="C95" t="s">
        <v>84</v>
      </c>
      <c r="D95">
        <v>16968</v>
      </c>
      <c r="E95" t="s">
        <v>6</v>
      </c>
      <c r="F95" t="s">
        <v>7</v>
      </c>
      <c r="G95" t="s">
        <v>8</v>
      </c>
    </row>
    <row r="96" spans="1:7" x14ac:dyDescent="0.25">
      <c r="A96" t="s">
        <v>121</v>
      </c>
      <c r="B96" t="s">
        <v>4</v>
      </c>
      <c r="C96" t="s">
        <v>5</v>
      </c>
      <c r="D96">
        <v>16857</v>
      </c>
      <c r="E96" t="s">
        <v>6</v>
      </c>
      <c r="F96" t="s">
        <v>7</v>
      </c>
      <c r="G96" t="s">
        <v>8</v>
      </c>
    </row>
    <row r="97" spans="1:7" x14ac:dyDescent="0.25">
      <c r="A97" t="s">
        <v>122</v>
      </c>
      <c r="B97" t="s">
        <v>68</v>
      </c>
      <c r="C97" t="s">
        <v>86</v>
      </c>
      <c r="D97">
        <v>16217</v>
      </c>
      <c r="E97" t="s">
        <v>6</v>
      </c>
      <c r="F97" t="s">
        <v>7</v>
      </c>
      <c r="G97" t="s">
        <v>8</v>
      </c>
    </row>
    <row r="98" spans="1:7" x14ac:dyDescent="0.25">
      <c r="A98" t="s">
        <v>123</v>
      </c>
      <c r="B98" t="s">
        <v>75</v>
      </c>
      <c r="C98" t="s">
        <v>113</v>
      </c>
      <c r="D98">
        <v>15673</v>
      </c>
      <c r="E98" t="s">
        <v>6</v>
      </c>
      <c r="F98" t="s">
        <v>7</v>
      </c>
      <c r="G98" t="s">
        <v>8</v>
      </c>
    </row>
    <row r="99" spans="1:7" x14ac:dyDescent="0.25">
      <c r="A99" t="s">
        <v>124</v>
      </c>
      <c r="B99" t="s">
        <v>68</v>
      </c>
      <c r="C99" t="s">
        <v>125</v>
      </c>
      <c r="D99">
        <v>15394</v>
      </c>
      <c r="E99" t="s">
        <v>6</v>
      </c>
      <c r="F99" t="s">
        <v>7</v>
      </c>
      <c r="G99" t="s">
        <v>8</v>
      </c>
    </row>
    <row r="100" spans="1:7" x14ac:dyDescent="0.25">
      <c r="A100" t="s">
        <v>126</v>
      </c>
      <c r="B100" t="s">
        <v>4</v>
      </c>
      <c r="C100" t="s">
        <v>25</v>
      </c>
      <c r="D100">
        <v>15380</v>
      </c>
      <c r="E100" t="s">
        <v>6</v>
      </c>
      <c r="F100" t="s">
        <v>7</v>
      </c>
      <c r="G100" t="s">
        <v>8</v>
      </c>
    </row>
    <row r="101" spans="1:7" x14ac:dyDescent="0.25">
      <c r="A101" t="s">
        <v>127</v>
      </c>
      <c r="B101" t="s">
        <v>68</v>
      </c>
      <c r="C101" t="s">
        <v>69</v>
      </c>
      <c r="D101">
        <v>15274</v>
      </c>
      <c r="E101" t="s">
        <v>6</v>
      </c>
      <c r="F101" t="s">
        <v>7</v>
      </c>
      <c r="G101" t="s">
        <v>8</v>
      </c>
    </row>
    <row r="102" spans="1:7" x14ac:dyDescent="0.25">
      <c r="A102" t="s">
        <v>128</v>
      </c>
      <c r="B102" t="s">
        <v>48</v>
      </c>
      <c r="C102" t="s">
        <v>129</v>
      </c>
      <c r="D102">
        <v>15258</v>
      </c>
      <c r="E102" t="s">
        <v>6</v>
      </c>
      <c r="F102" t="s">
        <v>7</v>
      </c>
      <c r="G102" t="s">
        <v>8</v>
      </c>
    </row>
    <row r="103" spans="1:7" x14ac:dyDescent="0.25">
      <c r="A103" t="s">
        <v>130</v>
      </c>
      <c r="B103" t="s">
        <v>68</v>
      </c>
      <c r="C103" t="s">
        <v>86</v>
      </c>
      <c r="D103">
        <v>14760</v>
      </c>
      <c r="E103" t="s">
        <v>6</v>
      </c>
      <c r="F103" t="s">
        <v>7</v>
      </c>
      <c r="G103" t="s">
        <v>8</v>
      </c>
    </row>
    <row r="104" spans="1:7" x14ac:dyDescent="0.25">
      <c r="A104" t="s">
        <v>131</v>
      </c>
      <c r="B104" t="s">
        <v>68</v>
      </c>
      <c r="C104" t="s">
        <v>86</v>
      </c>
      <c r="D104">
        <v>14624</v>
      </c>
      <c r="E104" t="s">
        <v>6</v>
      </c>
      <c r="F104" t="s">
        <v>7</v>
      </c>
      <c r="G104" t="s">
        <v>8</v>
      </c>
    </row>
    <row r="105" spans="1:7" x14ac:dyDescent="0.25">
      <c r="A105" t="s">
        <v>132</v>
      </c>
      <c r="B105" t="s">
        <v>68</v>
      </c>
      <c r="C105" t="s">
        <v>86</v>
      </c>
      <c r="D105">
        <v>14507</v>
      </c>
      <c r="E105" t="s">
        <v>6</v>
      </c>
      <c r="F105" t="s">
        <v>7</v>
      </c>
      <c r="G105" t="s">
        <v>8</v>
      </c>
    </row>
    <row r="106" spans="1:7" x14ac:dyDescent="0.25">
      <c r="A106" t="s">
        <v>133</v>
      </c>
      <c r="B106" t="s">
        <v>68</v>
      </c>
      <c r="C106" t="s">
        <v>86</v>
      </c>
      <c r="D106">
        <v>14497</v>
      </c>
      <c r="E106" t="s">
        <v>6</v>
      </c>
      <c r="F106" t="s">
        <v>7</v>
      </c>
      <c r="G106" t="s">
        <v>8</v>
      </c>
    </row>
    <row r="107" spans="1:7" x14ac:dyDescent="0.25">
      <c r="A107" t="s">
        <v>134</v>
      </c>
      <c r="B107" t="s">
        <v>48</v>
      </c>
      <c r="C107" t="s">
        <v>84</v>
      </c>
      <c r="D107">
        <v>14486</v>
      </c>
      <c r="E107" t="s">
        <v>6</v>
      </c>
      <c r="F107" t="s">
        <v>7</v>
      </c>
      <c r="G107" t="s">
        <v>8</v>
      </c>
    </row>
    <row r="108" spans="1:7" x14ac:dyDescent="0.25">
      <c r="A108" t="s">
        <v>135</v>
      </c>
      <c r="B108" t="s">
        <v>75</v>
      </c>
      <c r="C108" t="s">
        <v>102</v>
      </c>
      <c r="D108">
        <v>14191</v>
      </c>
      <c r="E108" t="s">
        <v>6</v>
      </c>
      <c r="F108" t="s">
        <v>7</v>
      </c>
      <c r="G108" t="s">
        <v>8</v>
      </c>
    </row>
    <row r="109" spans="1:7" x14ac:dyDescent="0.25">
      <c r="A109" t="s">
        <v>136</v>
      </c>
      <c r="B109" t="s">
        <v>48</v>
      </c>
      <c r="C109" t="s">
        <v>84</v>
      </c>
      <c r="D109">
        <v>14045</v>
      </c>
      <c r="E109" t="s">
        <v>6</v>
      </c>
      <c r="F109" t="s">
        <v>7</v>
      </c>
      <c r="G109" t="s">
        <v>8</v>
      </c>
    </row>
    <row r="110" spans="1:7" x14ac:dyDescent="0.25">
      <c r="A110" t="s">
        <v>137</v>
      </c>
      <c r="B110" t="s">
        <v>48</v>
      </c>
      <c r="C110" t="s">
        <v>84</v>
      </c>
      <c r="D110">
        <v>13485</v>
      </c>
      <c r="E110" t="s">
        <v>6</v>
      </c>
      <c r="F110" t="s">
        <v>7</v>
      </c>
      <c r="G110" t="s">
        <v>8</v>
      </c>
    </row>
    <row r="111" spans="1:7" x14ac:dyDescent="0.25">
      <c r="A111" t="s">
        <v>138</v>
      </c>
      <c r="B111" t="s">
        <v>75</v>
      </c>
      <c r="C111" t="s">
        <v>76</v>
      </c>
      <c r="D111">
        <v>12896</v>
      </c>
      <c r="E111" t="s">
        <v>6</v>
      </c>
      <c r="F111" t="s">
        <v>7</v>
      </c>
      <c r="G111" t="s">
        <v>8</v>
      </c>
    </row>
    <row r="112" spans="1:7" x14ac:dyDescent="0.25">
      <c r="A112" t="s">
        <v>139</v>
      </c>
      <c r="B112" t="s">
        <v>48</v>
      </c>
      <c r="C112" t="s">
        <v>129</v>
      </c>
      <c r="D112">
        <v>12664</v>
      </c>
      <c r="E112" t="s">
        <v>6</v>
      </c>
      <c r="F112" t="s">
        <v>7</v>
      </c>
      <c r="G112" t="s">
        <v>8</v>
      </c>
    </row>
    <row r="113" spans="1:7" x14ac:dyDescent="0.25">
      <c r="A113" t="s">
        <v>140</v>
      </c>
      <c r="B113" t="s">
        <v>68</v>
      </c>
      <c r="C113" t="s">
        <v>141</v>
      </c>
      <c r="D113">
        <v>12527</v>
      </c>
      <c r="E113" t="s">
        <v>6</v>
      </c>
      <c r="F113" t="s">
        <v>7</v>
      </c>
      <c r="G113" t="s">
        <v>8</v>
      </c>
    </row>
    <row r="114" spans="1:7" x14ac:dyDescent="0.25">
      <c r="A114" t="s">
        <v>142</v>
      </c>
      <c r="B114" t="s">
        <v>4</v>
      </c>
      <c r="C114" t="s">
        <v>25</v>
      </c>
      <c r="D114">
        <v>12290</v>
      </c>
      <c r="E114" t="s">
        <v>6</v>
      </c>
      <c r="F114" t="s">
        <v>7</v>
      </c>
      <c r="G114" t="s">
        <v>8</v>
      </c>
    </row>
    <row r="115" spans="1:7" x14ac:dyDescent="0.25">
      <c r="A115" t="s">
        <v>143</v>
      </c>
      <c r="B115" t="s">
        <v>68</v>
      </c>
      <c r="C115" t="s">
        <v>86</v>
      </c>
      <c r="D115">
        <v>12046</v>
      </c>
      <c r="E115" t="s">
        <v>6</v>
      </c>
      <c r="F115" t="s">
        <v>7</v>
      </c>
      <c r="G115" t="s">
        <v>8</v>
      </c>
    </row>
    <row r="116" spans="1:7" x14ac:dyDescent="0.25">
      <c r="A116" t="s">
        <v>144</v>
      </c>
      <c r="B116" t="s">
        <v>68</v>
      </c>
      <c r="C116" t="s">
        <v>86</v>
      </c>
      <c r="D116">
        <v>11962</v>
      </c>
      <c r="E116" t="s">
        <v>6</v>
      </c>
      <c r="F116" t="s">
        <v>7</v>
      </c>
      <c r="G116" t="s">
        <v>8</v>
      </c>
    </row>
    <row r="117" spans="1:7" x14ac:dyDescent="0.25">
      <c r="A117" t="s">
        <v>145</v>
      </c>
      <c r="B117" t="s">
        <v>68</v>
      </c>
      <c r="C117" t="s">
        <v>71</v>
      </c>
      <c r="D117">
        <v>11662</v>
      </c>
      <c r="E117" t="s">
        <v>6</v>
      </c>
      <c r="F117" t="s">
        <v>7</v>
      </c>
      <c r="G117" t="s">
        <v>8</v>
      </c>
    </row>
    <row r="118" spans="1:7" x14ac:dyDescent="0.25">
      <c r="A118" t="s">
        <v>146</v>
      </c>
      <c r="B118" t="s">
        <v>4</v>
      </c>
      <c r="C118" t="s">
        <v>25</v>
      </c>
      <c r="D118">
        <v>11249</v>
      </c>
      <c r="E118" t="s">
        <v>6</v>
      </c>
      <c r="F118" t="s">
        <v>7</v>
      </c>
      <c r="G118" t="s">
        <v>8</v>
      </c>
    </row>
    <row r="119" spans="1:7" x14ac:dyDescent="0.25">
      <c r="A119" t="s">
        <v>147</v>
      </c>
      <c r="B119" t="s">
        <v>75</v>
      </c>
      <c r="C119" t="s">
        <v>113</v>
      </c>
      <c r="D119">
        <v>11173</v>
      </c>
      <c r="E119" t="s">
        <v>6</v>
      </c>
      <c r="F119" t="s">
        <v>7</v>
      </c>
      <c r="G119" t="s">
        <v>8</v>
      </c>
    </row>
    <row r="120" spans="1:7" x14ac:dyDescent="0.25">
      <c r="A120" t="s">
        <v>148</v>
      </c>
      <c r="B120" t="s">
        <v>68</v>
      </c>
      <c r="C120" t="s">
        <v>149</v>
      </c>
      <c r="D120">
        <v>11169</v>
      </c>
      <c r="E120" t="s">
        <v>6</v>
      </c>
      <c r="F120" t="s">
        <v>7</v>
      </c>
      <c r="G120" t="s">
        <v>8</v>
      </c>
    </row>
    <row r="121" spans="1:7" x14ac:dyDescent="0.25">
      <c r="A121" t="s">
        <v>150</v>
      </c>
      <c r="B121" t="s">
        <v>68</v>
      </c>
      <c r="C121" t="s">
        <v>151</v>
      </c>
      <c r="D121">
        <v>10890</v>
      </c>
      <c r="E121" t="s">
        <v>6</v>
      </c>
      <c r="F121" t="s">
        <v>7</v>
      </c>
      <c r="G121" t="s">
        <v>8</v>
      </c>
    </row>
    <row r="122" spans="1:7" x14ac:dyDescent="0.25">
      <c r="A122" t="s">
        <v>152</v>
      </c>
      <c r="B122" t="s">
        <v>75</v>
      </c>
      <c r="C122" t="s">
        <v>102</v>
      </c>
      <c r="D122">
        <v>10681</v>
      </c>
      <c r="E122" t="s">
        <v>6</v>
      </c>
      <c r="F122" t="s">
        <v>7</v>
      </c>
      <c r="G122" t="s">
        <v>8</v>
      </c>
    </row>
    <row r="123" spans="1:7" x14ac:dyDescent="0.25">
      <c r="A123" t="s">
        <v>47</v>
      </c>
      <c r="B123" t="s">
        <v>48</v>
      </c>
      <c r="C123" t="s">
        <v>49</v>
      </c>
      <c r="D123">
        <v>10661</v>
      </c>
      <c r="E123" t="s">
        <v>153</v>
      </c>
      <c r="F123" t="s">
        <v>154</v>
      </c>
      <c r="G123" t="s">
        <v>155</v>
      </c>
    </row>
    <row r="124" spans="1:7" x14ac:dyDescent="0.25">
      <c r="A124" t="s">
        <v>79</v>
      </c>
      <c r="B124" t="s">
        <v>75</v>
      </c>
      <c r="C124" t="s">
        <v>80</v>
      </c>
      <c r="D124">
        <v>10653</v>
      </c>
      <c r="E124" t="s">
        <v>153</v>
      </c>
      <c r="F124" t="s">
        <v>154</v>
      </c>
      <c r="G124" t="s">
        <v>155</v>
      </c>
    </row>
    <row r="125" spans="1:7" x14ac:dyDescent="0.25">
      <c r="A125" t="s">
        <v>156</v>
      </c>
      <c r="B125" t="s">
        <v>4</v>
      </c>
      <c r="C125" t="s">
        <v>25</v>
      </c>
      <c r="D125">
        <v>10605</v>
      </c>
      <c r="E125" t="s">
        <v>6</v>
      </c>
      <c r="F125" t="s">
        <v>7</v>
      </c>
      <c r="G125" t="s">
        <v>8</v>
      </c>
    </row>
    <row r="126" spans="1:7" x14ac:dyDescent="0.25">
      <c r="A126" t="s">
        <v>157</v>
      </c>
      <c r="B126" t="s">
        <v>68</v>
      </c>
      <c r="C126" t="s">
        <v>86</v>
      </c>
      <c r="D126">
        <v>10596</v>
      </c>
      <c r="E126" t="s">
        <v>6</v>
      </c>
      <c r="F126" t="s">
        <v>7</v>
      </c>
      <c r="G126" t="s">
        <v>8</v>
      </c>
    </row>
    <row r="127" spans="1:7" x14ac:dyDescent="0.25">
      <c r="A127" t="s">
        <v>158</v>
      </c>
      <c r="B127" t="s">
        <v>68</v>
      </c>
      <c r="C127" t="s">
        <v>69</v>
      </c>
      <c r="D127">
        <v>10397</v>
      </c>
      <c r="E127" t="s">
        <v>6</v>
      </c>
      <c r="F127" t="s">
        <v>7</v>
      </c>
      <c r="G127" t="s">
        <v>8</v>
      </c>
    </row>
    <row r="128" spans="1:7" x14ac:dyDescent="0.25">
      <c r="A128" t="s">
        <v>159</v>
      </c>
      <c r="B128" t="s">
        <v>68</v>
      </c>
      <c r="C128" t="s">
        <v>160</v>
      </c>
      <c r="D128">
        <v>10291</v>
      </c>
      <c r="E128" t="s">
        <v>6</v>
      </c>
      <c r="F128" t="s">
        <v>7</v>
      </c>
      <c r="G128" t="s">
        <v>8</v>
      </c>
    </row>
    <row r="129" spans="1:7" x14ac:dyDescent="0.25">
      <c r="A129" t="s">
        <v>79</v>
      </c>
      <c r="B129" t="s">
        <v>75</v>
      </c>
      <c r="C129" t="s">
        <v>80</v>
      </c>
      <c r="D129">
        <v>10156</v>
      </c>
      <c r="E129" t="s">
        <v>161</v>
      </c>
      <c r="F129" t="s">
        <v>154</v>
      </c>
      <c r="G129" t="s">
        <v>155</v>
      </c>
    </row>
    <row r="130" spans="1:7" x14ac:dyDescent="0.25">
      <c r="A130" t="s">
        <v>162</v>
      </c>
      <c r="B130" t="s">
        <v>75</v>
      </c>
      <c r="C130" t="s">
        <v>113</v>
      </c>
      <c r="D130">
        <v>9855</v>
      </c>
      <c r="E130" t="s">
        <v>6</v>
      </c>
      <c r="F130" t="s">
        <v>7</v>
      </c>
      <c r="G130" t="s">
        <v>8</v>
      </c>
    </row>
    <row r="131" spans="1:7" x14ac:dyDescent="0.25">
      <c r="A131" t="s">
        <v>163</v>
      </c>
      <c r="B131" t="s">
        <v>68</v>
      </c>
      <c r="C131" t="s">
        <v>149</v>
      </c>
      <c r="D131">
        <v>9700</v>
      </c>
      <c r="E131" t="s">
        <v>6</v>
      </c>
      <c r="F131" t="s">
        <v>7</v>
      </c>
      <c r="G131" t="s">
        <v>8</v>
      </c>
    </row>
    <row r="132" spans="1:7" x14ac:dyDescent="0.25">
      <c r="A132" t="s">
        <v>164</v>
      </c>
      <c r="B132" t="s">
        <v>48</v>
      </c>
      <c r="C132" t="s">
        <v>84</v>
      </c>
      <c r="D132">
        <v>9668</v>
      </c>
      <c r="E132" t="s">
        <v>6</v>
      </c>
      <c r="F132" t="s">
        <v>7</v>
      </c>
      <c r="G132" t="s">
        <v>8</v>
      </c>
    </row>
    <row r="133" spans="1:7" x14ac:dyDescent="0.25">
      <c r="A133" t="s">
        <v>165</v>
      </c>
      <c r="B133" t="s">
        <v>48</v>
      </c>
      <c r="C133" t="s">
        <v>129</v>
      </c>
      <c r="D133">
        <v>9635</v>
      </c>
      <c r="E133" t="s">
        <v>6</v>
      </c>
      <c r="F133" t="s">
        <v>7</v>
      </c>
      <c r="G133" t="s">
        <v>8</v>
      </c>
    </row>
    <row r="134" spans="1:7" x14ac:dyDescent="0.25">
      <c r="A134" t="s">
        <v>166</v>
      </c>
      <c r="B134" t="s">
        <v>4</v>
      </c>
      <c r="C134" t="s">
        <v>25</v>
      </c>
      <c r="D134">
        <v>9630</v>
      </c>
      <c r="E134" t="s">
        <v>6</v>
      </c>
      <c r="F134" t="s">
        <v>7</v>
      </c>
      <c r="G134" t="s">
        <v>8</v>
      </c>
    </row>
    <row r="135" spans="1:7" x14ac:dyDescent="0.25">
      <c r="A135" t="s">
        <v>167</v>
      </c>
      <c r="B135" t="s">
        <v>68</v>
      </c>
      <c r="C135" t="s">
        <v>168</v>
      </c>
      <c r="D135">
        <v>9525</v>
      </c>
      <c r="E135" t="s">
        <v>6</v>
      </c>
      <c r="F135" t="s">
        <v>7</v>
      </c>
      <c r="G135" t="s">
        <v>8</v>
      </c>
    </row>
    <row r="136" spans="1:7" x14ac:dyDescent="0.25">
      <c r="A136" t="s">
        <v>169</v>
      </c>
      <c r="B136" t="s">
        <v>75</v>
      </c>
      <c r="C136" t="s">
        <v>113</v>
      </c>
      <c r="D136">
        <v>9498</v>
      </c>
      <c r="E136" t="s">
        <v>6</v>
      </c>
      <c r="F136" t="s">
        <v>7</v>
      </c>
      <c r="G136" t="s">
        <v>8</v>
      </c>
    </row>
    <row r="137" spans="1:7" x14ac:dyDescent="0.25">
      <c r="A137" t="s">
        <v>170</v>
      </c>
      <c r="B137" t="s">
        <v>68</v>
      </c>
      <c r="C137" t="s">
        <v>171</v>
      </c>
      <c r="D137">
        <v>9286</v>
      </c>
      <c r="E137" t="s">
        <v>6</v>
      </c>
      <c r="F137" t="s">
        <v>7</v>
      </c>
      <c r="G137" t="s">
        <v>8</v>
      </c>
    </row>
    <row r="138" spans="1:7" x14ac:dyDescent="0.25">
      <c r="A138" t="s">
        <v>172</v>
      </c>
      <c r="B138" t="s">
        <v>68</v>
      </c>
      <c r="C138" t="s">
        <v>168</v>
      </c>
      <c r="D138">
        <v>9116</v>
      </c>
      <c r="E138" t="s">
        <v>6</v>
      </c>
      <c r="F138" t="s">
        <v>7</v>
      </c>
      <c r="G138" t="s">
        <v>8</v>
      </c>
    </row>
    <row r="139" spans="1:7" x14ac:dyDescent="0.25">
      <c r="A139" t="s">
        <v>173</v>
      </c>
      <c r="B139" t="s">
        <v>4</v>
      </c>
      <c r="C139" t="s">
        <v>25</v>
      </c>
      <c r="D139">
        <v>8897</v>
      </c>
      <c r="E139" t="s">
        <v>6</v>
      </c>
      <c r="F139" t="s">
        <v>7</v>
      </c>
      <c r="G139" t="s">
        <v>8</v>
      </c>
    </row>
    <row r="140" spans="1:7" x14ac:dyDescent="0.25">
      <c r="A140" t="s">
        <v>174</v>
      </c>
      <c r="B140" t="s">
        <v>68</v>
      </c>
      <c r="C140" t="s">
        <v>69</v>
      </c>
      <c r="D140">
        <v>8674</v>
      </c>
      <c r="E140" t="s">
        <v>6</v>
      </c>
      <c r="F140" t="s">
        <v>7</v>
      </c>
      <c r="G140" t="s">
        <v>8</v>
      </c>
    </row>
    <row r="141" spans="1:7" x14ac:dyDescent="0.25">
      <c r="A141" t="s">
        <v>175</v>
      </c>
      <c r="B141" t="s">
        <v>68</v>
      </c>
      <c r="C141" t="s">
        <v>176</v>
      </c>
      <c r="D141">
        <v>8633</v>
      </c>
      <c r="E141" t="s">
        <v>6</v>
      </c>
      <c r="F141" t="s">
        <v>7</v>
      </c>
      <c r="G141" t="s">
        <v>8</v>
      </c>
    </row>
    <row r="142" spans="1:7" x14ac:dyDescent="0.25">
      <c r="A142" t="s">
        <v>177</v>
      </c>
      <c r="B142" t="s">
        <v>68</v>
      </c>
      <c r="C142" t="s">
        <v>171</v>
      </c>
      <c r="D142">
        <v>8541</v>
      </c>
      <c r="E142" t="s">
        <v>6</v>
      </c>
      <c r="F142" t="s">
        <v>7</v>
      </c>
      <c r="G142" t="s">
        <v>8</v>
      </c>
    </row>
    <row r="143" spans="1:7" x14ac:dyDescent="0.25">
      <c r="A143" t="s">
        <v>178</v>
      </c>
      <c r="B143" t="s">
        <v>4</v>
      </c>
      <c r="C143" t="s">
        <v>25</v>
      </c>
      <c r="D143">
        <v>8491</v>
      </c>
      <c r="E143" t="s">
        <v>6</v>
      </c>
      <c r="F143" t="s">
        <v>7</v>
      </c>
      <c r="G143" t="s">
        <v>8</v>
      </c>
    </row>
    <row r="144" spans="1:7" x14ac:dyDescent="0.25">
      <c r="A144" t="s">
        <v>179</v>
      </c>
      <c r="B144" t="s">
        <v>4</v>
      </c>
      <c r="C144" t="s">
        <v>25</v>
      </c>
      <c r="D144">
        <v>8171</v>
      </c>
      <c r="E144" t="s">
        <v>6</v>
      </c>
      <c r="F144" t="s">
        <v>7</v>
      </c>
      <c r="G144" t="s">
        <v>8</v>
      </c>
    </row>
    <row r="145" spans="1:7" x14ac:dyDescent="0.25">
      <c r="A145" t="s">
        <v>180</v>
      </c>
      <c r="B145" t="s">
        <v>68</v>
      </c>
      <c r="C145" t="s">
        <v>86</v>
      </c>
      <c r="D145">
        <v>8037</v>
      </c>
      <c r="E145" t="s">
        <v>6</v>
      </c>
      <c r="F145" t="s">
        <v>7</v>
      </c>
      <c r="G145" t="s">
        <v>8</v>
      </c>
    </row>
    <row r="146" spans="1:7" x14ac:dyDescent="0.25">
      <c r="A146" t="s">
        <v>181</v>
      </c>
      <c r="B146" t="s">
        <v>68</v>
      </c>
      <c r="C146" t="s">
        <v>86</v>
      </c>
      <c r="D146">
        <v>7983</v>
      </c>
      <c r="E146" t="s">
        <v>6</v>
      </c>
      <c r="F146" t="s">
        <v>7</v>
      </c>
      <c r="G146" t="s">
        <v>8</v>
      </c>
    </row>
    <row r="147" spans="1:7" x14ac:dyDescent="0.25">
      <c r="A147" t="s">
        <v>182</v>
      </c>
      <c r="B147" t="s">
        <v>75</v>
      </c>
      <c r="C147" t="s">
        <v>80</v>
      </c>
      <c r="D147">
        <v>7924</v>
      </c>
      <c r="E147" t="s">
        <v>6</v>
      </c>
      <c r="F147" t="s">
        <v>7</v>
      </c>
      <c r="G147" t="s">
        <v>8</v>
      </c>
    </row>
    <row r="148" spans="1:7" x14ac:dyDescent="0.25">
      <c r="A148" t="s">
        <v>183</v>
      </c>
      <c r="B148" t="s">
        <v>68</v>
      </c>
      <c r="C148" t="s">
        <v>149</v>
      </c>
      <c r="D148">
        <v>7675</v>
      </c>
      <c r="E148" t="s">
        <v>6</v>
      </c>
      <c r="F148" t="s">
        <v>7</v>
      </c>
      <c r="G148" t="s">
        <v>8</v>
      </c>
    </row>
    <row r="149" spans="1:7" x14ac:dyDescent="0.25">
      <c r="A149" t="s">
        <v>184</v>
      </c>
      <c r="B149" t="s">
        <v>48</v>
      </c>
      <c r="C149" t="s">
        <v>185</v>
      </c>
      <c r="D149">
        <v>7465</v>
      </c>
      <c r="E149" t="s">
        <v>6</v>
      </c>
      <c r="F149" t="s">
        <v>7</v>
      </c>
      <c r="G149" t="s">
        <v>8</v>
      </c>
    </row>
    <row r="150" spans="1:7" x14ac:dyDescent="0.25">
      <c r="A150" t="s">
        <v>47</v>
      </c>
      <c r="B150" t="s">
        <v>48</v>
      </c>
      <c r="C150" t="s">
        <v>49</v>
      </c>
      <c r="D150">
        <v>7360</v>
      </c>
      <c r="E150" t="s">
        <v>161</v>
      </c>
      <c r="F150" t="s">
        <v>154</v>
      </c>
      <c r="G150" t="s">
        <v>155</v>
      </c>
    </row>
    <row r="151" spans="1:7" x14ac:dyDescent="0.25">
      <c r="A151" t="s">
        <v>78</v>
      </c>
      <c r="B151" t="s">
        <v>75</v>
      </c>
      <c r="C151" t="s">
        <v>76</v>
      </c>
      <c r="D151">
        <v>7307</v>
      </c>
      <c r="E151" t="s">
        <v>161</v>
      </c>
      <c r="F151" t="s">
        <v>154</v>
      </c>
      <c r="G151" t="s">
        <v>155</v>
      </c>
    </row>
    <row r="152" spans="1:7" x14ac:dyDescent="0.25">
      <c r="A152" t="s">
        <v>74</v>
      </c>
      <c r="B152" t="s">
        <v>75</v>
      </c>
      <c r="C152" t="s">
        <v>76</v>
      </c>
      <c r="D152">
        <v>6860</v>
      </c>
      <c r="E152" t="s">
        <v>161</v>
      </c>
      <c r="F152" t="s">
        <v>154</v>
      </c>
      <c r="G152" t="s">
        <v>155</v>
      </c>
    </row>
    <row r="153" spans="1:7" x14ac:dyDescent="0.25">
      <c r="A153" t="s">
        <v>78</v>
      </c>
      <c r="B153" t="s">
        <v>75</v>
      </c>
      <c r="C153" t="s">
        <v>76</v>
      </c>
      <c r="D153">
        <v>6803</v>
      </c>
      <c r="E153" t="s">
        <v>153</v>
      </c>
      <c r="F153" t="s">
        <v>154</v>
      </c>
      <c r="G153" t="s">
        <v>155</v>
      </c>
    </row>
    <row r="154" spans="1:7" x14ac:dyDescent="0.25">
      <c r="A154" t="s">
        <v>186</v>
      </c>
      <c r="B154" t="s">
        <v>68</v>
      </c>
      <c r="C154" t="s">
        <v>168</v>
      </c>
      <c r="D154">
        <v>6715</v>
      </c>
      <c r="E154" t="s">
        <v>6</v>
      </c>
      <c r="F154" t="s">
        <v>7</v>
      </c>
      <c r="G154" t="s">
        <v>8</v>
      </c>
    </row>
    <row r="155" spans="1:7" x14ac:dyDescent="0.25">
      <c r="A155" t="s">
        <v>187</v>
      </c>
      <c r="B155" t="s">
        <v>68</v>
      </c>
      <c r="C155" t="s">
        <v>151</v>
      </c>
      <c r="D155">
        <v>6689</v>
      </c>
      <c r="E155" t="s">
        <v>6</v>
      </c>
      <c r="F155" t="s">
        <v>7</v>
      </c>
      <c r="G155" t="s">
        <v>8</v>
      </c>
    </row>
    <row r="156" spans="1:7" x14ac:dyDescent="0.25">
      <c r="A156" t="s">
        <v>188</v>
      </c>
      <c r="B156" t="s">
        <v>68</v>
      </c>
      <c r="C156" t="s">
        <v>168</v>
      </c>
      <c r="D156">
        <v>6543</v>
      </c>
      <c r="E156" t="s">
        <v>6</v>
      </c>
      <c r="F156" t="s">
        <v>7</v>
      </c>
      <c r="G156" t="s">
        <v>8</v>
      </c>
    </row>
    <row r="157" spans="1:7" x14ac:dyDescent="0.25">
      <c r="A157" t="s">
        <v>189</v>
      </c>
      <c r="B157" t="s">
        <v>68</v>
      </c>
      <c r="C157" t="s">
        <v>171</v>
      </c>
      <c r="D157">
        <v>6402</v>
      </c>
      <c r="E157" t="s">
        <v>6</v>
      </c>
      <c r="F157" t="s">
        <v>7</v>
      </c>
      <c r="G157" t="s">
        <v>8</v>
      </c>
    </row>
    <row r="158" spans="1:7" x14ac:dyDescent="0.25">
      <c r="A158" t="s">
        <v>74</v>
      </c>
      <c r="B158" t="s">
        <v>75</v>
      </c>
      <c r="C158" t="s">
        <v>76</v>
      </c>
      <c r="D158">
        <v>6368</v>
      </c>
      <c r="E158" t="s">
        <v>153</v>
      </c>
      <c r="F158" t="s">
        <v>154</v>
      </c>
      <c r="G158" t="s">
        <v>155</v>
      </c>
    </row>
    <row r="159" spans="1:7" x14ac:dyDescent="0.25">
      <c r="A159" t="s">
        <v>190</v>
      </c>
      <c r="B159" t="s">
        <v>75</v>
      </c>
      <c r="C159" t="s">
        <v>76</v>
      </c>
      <c r="D159">
        <v>6119</v>
      </c>
      <c r="E159" t="s">
        <v>6</v>
      </c>
      <c r="F159" t="s">
        <v>7</v>
      </c>
      <c r="G159" t="s">
        <v>8</v>
      </c>
    </row>
    <row r="160" spans="1:7" x14ac:dyDescent="0.25">
      <c r="A160" t="s">
        <v>191</v>
      </c>
      <c r="B160" t="s">
        <v>68</v>
      </c>
      <c r="C160" t="s">
        <v>86</v>
      </c>
      <c r="D160">
        <v>5963</v>
      </c>
      <c r="E160" t="s">
        <v>6</v>
      </c>
      <c r="F160" t="s">
        <v>7</v>
      </c>
      <c r="G160" t="s">
        <v>8</v>
      </c>
    </row>
    <row r="161" spans="1:7" x14ac:dyDescent="0.25">
      <c r="A161" t="s">
        <v>192</v>
      </c>
      <c r="B161" t="s">
        <v>48</v>
      </c>
      <c r="C161" t="s">
        <v>84</v>
      </c>
      <c r="D161">
        <v>5935</v>
      </c>
      <c r="E161" t="s">
        <v>6</v>
      </c>
      <c r="F161" t="s">
        <v>7</v>
      </c>
      <c r="G161" t="s">
        <v>8</v>
      </c>
    </row>
    <row r="162" spans="1:7" x14ac:dyDescent="0.25">
      <c r="A162" t="s">
        <v>193</v>
      </c>
      <c r="B162" t="s">
        <v>68</v>
      </c>
      <c r="C162" t="s">
        <v>86</v>
      </c>
      <c r="D162">
        <v>5880</v>
      </c>
      <c r="E162" t="s">
        <v>6</v>
      </c>
      <c r="F162" t="s">
        <v>7</v>
      </c>
      <c r="G162" t="s">
        <v>8</v>
      </c>
    </row>
    <row r="163" spans="1:7" x14ac:dyDescent="0.25">
      <c r="A163" t="s">
        <v>194</v>
      </c>
      <c r="B163" t="s">
        <v>68</v>
      </c>
      <c r="C163" t="s">
        <v>69</v>
      </c>
      <c r="D163">
        <v>5724</v>
      </c>
      <c r="E163" t="s">
        <v>6</v>
      </c>
      <c r="F163" t="s">
        <v>7</v>
      </c>
      <c r="G163" t="s">
        <v>8</v>
      </c>
    </row>
    <row r="164" spans="1:7" x14ac:dyDescent="0.25">
      <c r="A164" t="s">
        <v>195</v>
      </c>
      <c r="B164" t="s">
        <v>4</v>
      </c>
      <c r="C164" t="s">
        <v>25</v>
      </c>
      <c r="D164">
        <v>5675</v>
      </c>
      <c r="E164" t="s">
        <v>6</v>
      </c>
      <c r="F164" t="s">
        <v>7</v>
      </c>
      <c r="G164" t="s">
        <v>8</v>
      </c>
    </row>
    <row r="165" spans="1:7" x14ac:dyDescent="0.25">
      <c r="A165" t="s">
        <v>196</v>
      </c>
      <c r="B165" t="s">
        <v>75</v>
      </c>
      <c r="C165" t="s">
        <v>99</v>
      </c>
      <c r="D165">
        <v>5540</v>
      </c>
      <c r="E165" t="s">
        <v>6</v>
      </c>
      <c r="F165" t="s">
        <v>7</v>
      </c>
      <c r="G165" t="s">
        <v>8</v>
      </c>
    </row>
    <row r="166" spans="1:7" x14ac:dyDescent="0.25">
      <c r="A166" t="s">
        <v>197</v>
      </c>
      <c r="B166" t="s">
        <v>68</v>
      </c>
      <c r="C166" t="s">
        <v>86</v>
      </c>
      <c r="D166">
        <v>5537</v>
      </c>
      <c r="E166" t="s">
        <v>6</v>
      </c>
      <c r="F166" t="s">
        <v>7</v>
      </c>
      <c r="G166" t="s">
        <v>8</v>
      </c>
    </row>
    <row r="167" spans="1:7" x14ac:dyDescent="0.25">
      <c r="A167" t="s">
        <v>198</v>
      </c>
      <c r="B167" t="s">
        <v>68</v>
      </c>
      <c r="C167" t="s">
        <v>171</v>
      </c>
      <c r="D167">
        <v>5483</v>
      </c>
      <c r="E167" t="s">
        <v>6</v>
      </c>
      <c r="F167" t="s">
        <v>7</v>
      </c>
      <c r="G167" t="s">
        <v>8</v>
      </c>
    </row>
    <row r="168" spans="1:7" x14ac:dyDescent="0.25">
      <c r="A168" t="s">
        <v>199</v>
      </c>
      <c r="B168" t="s">
        <v>68</v>
      </c>
      <c r="C168" t="s">
        <v>69</v>
      </c>
      <c r="D168">
        <v>5336</v>
      </c>
      <c r="E168" t="s">
        <v>6</v>
      </c>
      <c r="F168" t="s">
        <v>7</v>
      </c>
      <c r="G168" t="s">
        <v>8</v>
      </c>
    </row>
    <row r="169" spans="1:7" x14ac:dyDescent="0.25">
      <c r="A169" t="s">
        <v>200</v>
      </c>
      <c r="B169" t="s">
        <v>4</v>
      </c>
      <c r="C169" t="s">
        <v>25</v>
      </c>
      <c r="D169">
        <v>5258</v>
      </c>
      <c r="E169" t="s">
        <v>6</v>
      </c>
      <c r="F169" t="s">
        <v>7</v>
      </c>
      <c r="G169" t="s">
        <v>8</v>
      </c>
    </row>
    <row r="170" spans="1:7" x14ac:dyDescent="0.25">
      <c r="A170" t="s">
        <v>201</v>
      </c>
      <c r="B170" t="s">
        <v>68</v>
      </c>
      <c r="C170" t="s">
        <v>86</v>
      </c>
      <c r="D170">
        <v>5133</v>
      </c>
      <c r="E170" t="s">
        <v>6</v>
      </c>
      <c r="F170" t="s">
        <v>7</v>
      </c>
      <c r="G170" t="s">
        <v>8</v>
      </c>
    </row>
    <row r="171" spans="1:7" x14ac:dyDescent="0.25">
      <c r="A171" t="s">
        <v>202</v>
      </c>
      <c r="B171" t="s">
        <v>75</v>
      </c>
      <c r="C171" t="s">
        <v>203</v>
      </c>
      <c r="D171">
        <v>5054</v>
      </c>
      <c r="E171" t="s">
        <v>6</v>
      </c>
      <c r="F171" t="s">
        <v>7</v>
      </c>
      <c r="G171" t="s">
        <v>8</v>
      </c>
    </row>
    <row r="172" spans="1:7" x14ac:dyDescent="0.25">
      <c r="A172" t="s">
        <v>204</v>
      </c>
      <c r="B172" t="s">
        <v>68</v>
      </c>
      <c r="C172" t="s">
        <v>86</v>
      </c>
      <c r="D172">
        <v>5052</v>
      </c>
      <c r="E172" t="s">
        <v>6</v>
      </c>
      <c r="F172" t="s">
        <v>7</v>
      </c>
      <c r="G172" t="s">
        <v>8</v>
      </c>
    </row>
    <row r="173" spans="1:7" x14ac:dyDescent="0.25">
      <c r="A173" t="s">
        <v>205</v>
      </c>
      <c r="B173" t="s">
        <v>75</v>
      </c>
      <c r="C173" t="s">
        <v>76</v>
      </c>
      <c r="D173">
        <v>5005</v>
      </c>
      <c r="E173" t="s">
        <v>6</v>
      </c>
      <c r="F173" t="s">
        <v>7</v>
      </c>
      <c r="G173" t="s">
        <v>8</v>
      </c>
    </row>
    <row r="174" spans="1:7" x14ac:dyDescent="0.25">
      <c r="A174" t="s">
        <v>206</v>
      </c>
      <c r="B174" t="s">
        <v>68</v>
      </c>
      <c r="C174" t="s">
        <v>176</v>
      </c>
      <c r="D174">
        <v>4962</v>
      </c>
      <c r="E174" t="s">
        <v>6</v>
      </c>
      <c r="F174" t="s">
        <v>7</v>
      </c>
      <c r="G174" t="s">
        <v>8</v>
      </c>
    </row>
    <row r="175" spans="1:7" x14ac:dyDescent="0.25">
      <c r="A175" t="s">
        <v>207</v>
      </c>
      <c r="B175" t="s">
        <v>75</v>
      </c>
      <c r="C175" t="s">
        <v>203</v>
      </c>
      <c r="D175">
        <v>4933</v>
      </c>
      <c r="E175" t="s">
        <v>6</v>
      </c>
      <c r="F175" t="s">
        <v>7</v>
      </c>
      <c r="G175" t="s">
        <v>8</v>
      </c>
    </row>
    <row r="176" spans="1:7" x14ac:dyDescent="0.25">
      <c r="A176" t="s">
        <v>208</v>
      </c>
      <c r="B176" t="s">
        <v>48</v>
      </c>
      <c r="C176" t="s">
        <v>84</v>
      </c>
      <c r="D176">
        <v>4917</v>
      </c>
      <c r="E176" t="s">
        <v>6</v>
      </c>
      <c r="F176" t="s">
        <v>7</v>
      </c>
      <c r="G176" t="s">
        <v>8</v>
      </c>
    </row>
    <row r="177" spans="1:7" x14ac:dyDescent="0.25">
      <c r="A177" t="s">
        <v>209</v>
      </c>
      <c r="B177" t="s">
        <v>68</v>
      </c>
      <c r="C177" t="s">
        <v>149</v>
      </c>
      <c r="D177">
        <v>4719</v>
      </c>
      <c r="E177" t="s">
        <v>6</v>
      </c>
      <c r="F177" t="s">
        <v>7</v>
      </c>
      <c r="G177" t="s">
        <v>8</v>
      </c>
    </row>
    <row r="178" spans="1:7" x14ac:dyDescent="0.25">
      <c r="A178" t="s">
        <v>210</v>
      </c>
      <c r="B178" t="s">
        <v>48</v>
      </c>
      <c r="C178" t="s">
        <v>211</v>
      </c>
      <c r="D178">
        <v>4711</v>
      </c>
      <c r="E178" t="s">
        <v>6</v>
      </c>
      <c r="F178" t="s">
        <v>7</v>
      </c>
      <c r="G178" t="s">
        <v>8</v>
      </c>
    </row>
    <row r="179" spans="1:7" x14ac:dyDescent="0.25">
      <c r="A179" t="s">
        <v>212</v>
      </c>
      <c r="B179" t="s">
        <v>68</v>
      </c>
      <c r="C179" t="s">
        <v>69</v>
      </c>
      <c r="D179">
        <v>4681</v>
      </c>
      <c r="E179" t="s">
        <v>6</v>
      </c>
      <c r="F179" t="s">
        <v>7</v>
      </c>
      <c r="G179" t="s">
        <v>8</v>
      </c>
    </row>
    <row r="180" spans="1:7" x14ac:dyDescent="0.25">
      <c r="A180" t="s">
        <v>87</v>
      </c>
      <c r="B180" t="s">
        <v>75</v>
      </c>
      <c r="C180" t="s">
        <v>80</v>
      </c>
      <c r="D180">
        <v>4654</v>
      </c>
      <c r="E180" t="s">
        <v>153</v>
      </c>
      <c r="F180" t="s">
        <v>154</v>
      </c>
      <c r="G180" t="s">
        <v>155</v>
      </c>
    </row>
    <row r="181" spans="1:7" x14ac:dyDescent="0.25">
      <c r="A181" t="s">
        <v>213</v>
      </c>
      <c r="B181" t="s">
        <v>48</v>
      </c>
      <c r="C181" t="s">
        <v>84</v>
      </c>
      <c r="D181">
        <v>4648</v>
      </c>
      <c r="E181" t="s">
        <v>6</v>
      </c>
      <c r="F181" t="s">
        <v>7</v>
      </c>
      <c r="G181" t="s">
        <v>8</v>
      </c>
    </row>
    <row r="182" spans="1:7" x14ac:dyDescent="0.25">
      <c r="A182" t="s">
        <v>63</v>
      </c>
      <c r="B182" t="s">
        <v>48</v>
      </c>
      <c r="C182" t="s">
        <v>64</v>
      </c>
      <c r="D182">
        <v>4533</v>
      </c>
      <c r="E182" t="s">
        <v>153</v>
      </c>
      <c r="F182" t="s">
        <v>154</v>
      </c>
      <c r="G182" t="s">
        <v>155</v>
      </c>
    </row>
    <row r="183" spans="1:7" x14ac:dyDescent="0.25">
      <c r="A183" t="s">
        <v>214</v>
      </c>
      <c r="B183" t="s">
        <v>68</v>
      </c>
      <c r="C183" t="s">
        <v>125</v>
      </c>
      <c r="D183">
        <v>4393</v>
      </c>
      <c r="E183" t="s">
        <v>6</v>
      </c>
      <c r="F183" t="s">
        <v>7</v>
      </c>
      <c r="G183" t="s">
        <v>8</v>
      </c>
    </row>
    <row r="184" spans="1:7" x14ac:dyDescent="0.25">
      <c r="A184" t="s">
        <v>215</v>
      </c>
      <c r="B184" t="s">
        <v>68</v>
      </c>
      <c r="C184" t="s">
        <v>216</v>
      </c>
      <c r="D184">
        <v>4262</v>
      </c>
      <c r="E184" t="s">
        <v>6</v>
      </c>
      <c r="F184" t="s">
        <v>7</v>
      </c>
      <c r="G184" t="s">
        <v>8</v>
      </c>
    </row>
    <row r="185" spans="1:7" x14ac:dyDescent="0.25">
      <c r="A185" t="s">
        <v>217</v>
      </c>
      <c r="B185" t="s">
        <v>68</v>
      </c>
      <c r="C185" t="s">
        <v>141</v>
      </c>
      <c r="D185">
        <v>4087</v>
      </c>
      <c r="E185" t="s">
        <v>6</v>
      </c>
      <c r="F185" t="s">
        <v>7</v>
      </c>
      <c r="G185" t="s">
        <v>8</v>
      </c>
    </row>
    <row r="186" spans="1:7" x14ac:dyDescent="0.25">
      <c r="A186" t="s">
        <v>218</v>
      </c>
      <c r="B186" t="s">
        <v>75</v>
      </c>
      <c r="C186" t="s">
        <v>219</v>
      </c>
      <c r="D186">
        <v>4059</v>
      </c>
      <c r="E186" t="s">
        <v>6</v>
      </c>
      <c r="F186" t="s">
        <v>7</v>
      </c>
      <c r="G186" t="s">
        <v>8</v>
      </c>
    </row>
    <row r="187" spans="1:7" x14ac:dyDescent="0.25">
      <c r="A187" t="s">
        <v>220</v>
      </c>
      <c r="B187" t="s">
        <v>75</v>
      </c>
      <c r="C187" t="s">
        <v>219</v>
      </c>
      <c r="D187">
        <v>4007</v>
      </c>
      <c r="E187" t="s">
        <v>6</v>
      </c>
      <c r="F187" t="s">
        <v>7</v>
      </c>
      <c r="G187" t="s">
        <v>8</v>
      </c>
    </row>
    <row r="188" spans="1:7" x14ac:dyDescent="0.25">
      <c r="A188" t="s">
        <v>221</v>
      </c>
      <c r="B188" t="s">
        <v>48</v>
      </c>
      <c r="C188" t="s">
        <v>222</v>
      </c>
      <c r="D188">
        <v>4007</v>
      </c>
      <c r="E188" t="s">
        <v>6</v>
      </c>
      <c r="F188" t="s">
        <v>7</v>
      </c>
      <c r="G188" t="s">
        <v>8</v>
      </c>
    </row>
    <row r="189" spans="1:7" x14ac:dyDescent="0.25">
      <c r="A189" t="s">
        <v>53</v>
      </c>
      <c r="B189" t="s">
        <v>48</v>
      </c>
      <c r="C189" t="s">
        <v>51</v>
      </c>
      <c r="D189">
        <v>3903</v>
      </c>
      <c r="E189" t="s">
        <v>223</v>
      </c>
      <c r="F189" t="s">
        <v>154</v>
      </c>
      <c r="G189" t="s">
        <v>155</v>
      </c>
    </row>
    <row r="190" spans="1:7" x14ac:dyDescent="0.25">
      <c r="A190" t="s">
        <v>52</v>
      </c>
      <c r="B190" t="s">
        <v>48</v>
      </c>
      <c r="C190" t="s">
        <v>51</v>
      </c>
      <c r="D190">
        <v>3805</v>
      </c>
      <c r="E190" t="s">
        <v>224</v>
      </c>
      <c r="F190" t="s">
        <v>154</v>
      </c>
      <c r="G190" t="s">
        <v>155</v>
      </c>
    </row>
    <row r="191" spans="1:7" x14ac:dyDescent="0.25">
      <c r="A191" t="s">
        <v>225</v>
      </c>
      <c r="B191" t="s">
        <v>68</v>
      </c>
      <c r="C191" t="s">
        <v>86</v>
      </c>
      <c r="D191">
        <v>3587</v>
      </c>
      <c r="E191" t="s">
        <v>6</v>
      </c>
      <c r="F191" t="s">
        <v>7</v>
      </c>
      <c r="G191" t="s">
        <v>8</v>
      </c>
    </row>
    <row r="192" spans="1:7" x14ac:dyDescent="0.25">
      <c r="A192" t="s">
        <v>226</v>
      </c>
      <c r="B192" t="s">
        <v>75</v>
      </c>
      <c r="C192" t="s">
        <v>113</v>
      </c>
      <c r="D192">
        <v>3575</v>
      </c>
      <c r="E192" t="s">
        <v>6</v>
      </c>
      <c r="F192" t="s">
        <v>7</v>
      </c>
      <c r="G192" t="s">
        <v>8</v>
      </c>
    </row>
    <row r="193" spans="1:7" x14ac:dyDescent="0.25">
      <c r="A193" t="s">
        <v>227</v>
      </c>
      <c r="B193" t="s">
        <v>68</v>
      </c>
      <c r="C193" t="s">
        <v>216</v>
      </c>
      <c r="D193">
        <v>3498</v>
      </c>
      <c r="E193" t="s">
        <v>6</v>
      </c>
      <c r="F193" t="s">
        <v>7</v>
      </c>
      <c r="G193" t="s">
        <v>8</v>
      </c>
    </row>
    <row r="194" spans="1:7" x14ac:dyDescent="0.25">
      <c r="A194" t="s">
        <v>98</v>
      </c>
      <c r="B194" t="s">
        <v>75</v>
      </c>
      <c r="C194" t="s">
        <v>99</v>
      </c>
      <c r="D194">
        <v>3367</v>
      </c>
      <c r="E194" t="s">
        <v>228</v>
      </c>
      <c r="F194" t="s">
        <v>154</v>
      </c>
      <c r="G194" t="s">
        <v>155</v>
      </c>
    </row>
    <row r="195" spans="1:7" x14ac:dyDescent="0.25">
      <c r="A195" t="s">
        <v>229</v>
      </c>
      <c r="B195" t="s">
        <v>68</v>
      </c>
      <c r="C195" t="s">
        <v>171</v>
      </c>
      <c r="D195">
        <v>3342</v>
      </c>
      <c r="E195" t="s">
        <v>6</v>
      </c>
      <c r="F195" t="s">
        <v>7</v>
      </c>
      <c r="G195" t="s">
        <v>8</v>
      </c>
    </row>
    <row r="196" spans="1:7" x14ac:dyDescent="0.25">
      <c r="A196" t="s">
        <v>162</v>
      </c>
      <c r="B196" t="s">
        <v>75</v>
      </c>
      <c r="C196" t="s">
        <v>113</v>
      </c>
      <c r="D196">
        <v>3251</v>
      </c>
      <c r="E196" t="s">
        <v>230</v>
      </c>
      <c r="F196" t="s">
        <v>154</v>
      </c>
      <c r="G196" t="s">
        <v>155</v>
      </c>
    </row>
    <row r="197" spans="1:7" x14ac:dyDescent="0.25">
      <c r="A197" t="s">
        <v>231</v>
      </c>
      <c r="B197" t="s">
        <v>4</v>
      </c>
      <c r="C197" t="s">
        <v>15</v>
      </c>
      <c r="D197">
        <v>3228</v>
      </c>
      <c r="E197" t="s">
        <v>6</v>
      </c>
      <c r="F197" t="s">
        <v>7</v>
      </c>
      <c r="G197" t="s">
        <v>8</v>
      </c>
    </row>
    <row r="198" spans="1:7" x14ac:dyDescent="0.25">
      <c r="A198" t="s">
        <v>232</v>
      </c>
      <c r="B198" t="s">
        <v>68</v>
      </c>
      <c r="C198" t="s">
        <v>160</v>
      </c>
      <c r="D198">
        <v>3184</v>
      </c>
      <c r="E198" t="s">
        <v>6</v>
      </c>
      <c r="F198" t="s">
        <v>7</v>
      </c>
      <c r="G198" t="s">
        <v>8</v>
      </c>
    </row>
    <row r="199" spans="1:7" x14ac:dyDescent="0.25">
      <c r="A199" t="s">
        <v>105</v>
      </c>
      <c r="B199" t="s">
        <v>75</v>
      </c>
      <c r="C199" t="s">
        <v>99</v>
      </c>
      <c r="D199">
        <v>3168</v>
      </c>
      <c r="E199" t="s">
        <v>228</v>
      </c>
      <c r="F199" t="s">
        <v>154</v>
      </c>
      <c r="G199" t="s">
        <v>155</v>
      </c>
    </row>
    <row r="200" spans="1:7" x14ac:dyDescent="0.25">
      <c r="A200" t="s">
        <v>233</v>
      </c>
      <c r="B200" t="s">
        <v>68</v>
      </c>
      <c r="C200" t="s">
        <v>149</v>
      </c>
      <c r="D200">
        <v>3143</v>
      </c>
      <c r="E200" t="s">
        <v>6</v>
      </c>
      <c r="F200" t="s">
        <v>7</v>
      </c>
      <c r="G200" t="s">
        <v>8</v>
      </c>
    </row>
    <row r="201" spans="1:7" x14ac:dyDescent="0.25">
      <c r="A201" t="s">
        <v>234</v>
      </c>
      <c r="B201" t="s">
        <v>68</v>
      </c>
      <c r="C201" t="s">
        <v>216</v>
      </c>
      <c r="D201">
        <v>3047</v>
      </c>
      <c r="E201" t="s">
        <v>6</v>
      </c>
      <c r="F201" t="s">
        <v>7</v>
      </c>
      <c r="G201" t="s">
        <v>8</v>
      </c>
    </row>
    <row r="202" spans="1:7" x14ac:dyDescent="0.25">
      <c r="A202" t="s">
        <v>162</v>
      </c>
      <c r="B202" t="s">
        <v>75</v>
      </c>
      <c r="C202" t="s">
        <v>113</v>
      </c>
      <c r="D202">
        <v>2997</v>
      </c>
      <c r="E202" t="s">
        <v>228</v>
      </c>
      <c r="F202" t="s">
        <v>154</v>
      </c>
      <c r="G202" t="s">
        <v>155</v>
      </c>
    </row>
    <row r="203" spans="1:7" x14ac:dyDescent="0.25">
      <c r="A203" t="s">
        <v>50</v>
      </c>
      <c r="B203" t="s">
        <v>48</v>
      </c>
      <c r="C203" t="s">
        <v>51</v>
      </c>
      <c r="D203">
        <v>2971</v>
      </c>
      <c r="E203" t="s">
        <v>235</v>
      </c>
      <c r="F203" t="s">
        <v>154</v>
      </c>
      <c r="G203" t="s">
        <v>155</v>
      </c>
    </row>
    <row r="204" spans="1:7" x14ac:dyDescent="0.25">
      <c r="A204" t="s">
        <v>236</v>
      </c>
      <c r="B204" t="s">
        <v>68</v>
      </c>
      <c r="C204" t="s">
        <v>171</v>
      </c>
      <c r="D204">
        <v>2836</v>
      </c>
      <c r="E204" t="s">
        <v>6</v>
      </c>
      <c r="F204" t="s">
        <v>7</v>
      </c>
      <c r="G204" t="s">
        <v>8</v>
      </c>
    </row>
    <row r="205" spans="1:7" x14ac:dyDescent="0.25">
      <c r="A205" t="s">
        <v>237</v>
      </c>
      <c r="B205" t="s">
        <v>68</v>
      </c>
      <c r="C205" t="s">
        <v>69</v>
      </c>
      <c r="D205">
        <v>2749</v>
      </c>
      <c r="E205" t="s">
        <v>6</v>
      </c>
      <c r="F205" t="s">
        <v>7</v>
      </c>
      <c r="G205" t="s">
        <v>8</v>
      </c>
    </row>
    <row r="206" spans="1:7" x14ac:dyDescent="0.25">
      <c r="A206" t="s">
        <v>238</v>
      </c>
      <c r="B206" t="s">
        <v>68</v>
      </c>
      <c r="C206" t="s">
        <v>71</v>
      </c>
      <c r="D206">
        <v>2721</v>
      </c>
      <c r="E206" t="s">
        <v>6</v>
      </c>
      <c r="F206" t="s">
        <v>7</v>
      </c>
      <c r="G206" t="s">
        <v>8</v>
      </c>
    </row>
    <row r="207" spans="1:7" x14ac:dyDescent="0.25">
      <c r="A207" t="s">
        <v>239</v>
      </c>
      <c r="B207" t="s">
        <v>4</v>
      </c>
      <c r="C207" t="s">
        <v>15</v>
      </c>
      <c r="D207">
        <v>2586</v>
      </c>
      <c r="E207" t="s">
        <v>6</v>
      </c>
      <c r="F207" t="s">
        <v>7</v>
      </c>
      <c r="G207" t="s">
        <v>8</v>
      </c>
    </row>
    <row r="208" spans="1:7" x14ac:dyDescent="0.25">
      <c r="A208" t="s">
        <v>78</v>
      </c>
      <c r="B208" t="s">
        <v>75</v>
      </c>
      <c r="C208" t="s">
        <v>76</v>
      </c>
      <c r="D208">
        <v>2452</v>
      </c>
      <c r="E208" t="s">
        <v>240</v>
      </c>
      <c r="F208" t="s">
        <v>241</v>
      </c>
      <c r="G208" t="s">
        <v>155</v>
      </c>
    </row>
    <row r="209" spans="1:7" x14ac:dyDescent="0.25">
      <c r="A209" t="s">
        <v>242</v>
      </c>
      <c r="B209" t="s">
        <v>68</v>
      </c>
      <c r="C209" t="s">
        <v>243</v>
      </c>
      <c r="D209">
        <v>2336</v>
      </c>
      <c r="E209" t="s">
        <v>6</v>
      </c>
      <c r="F209" t="s">
        <v>7</v>
      </c>
      <c r="G209" t="s">
        <v>8</v>
      </c>
    </row>
    <row r="210" spans="1:7" x14ac:dyDescent="0.25">
      <c r="A210" t="s">
        <v>74</v>
      </c>
      <c r="B210" t="s">
        <v>75</v>
      </c>
      <c r="C210" t="s">
        <v>76</v>
      </c>
      <c r="D210">
        <v>2218</v>
      </c>
      <c r="E210" t="s">
        <v>240</v>
      </c>
      <c r="F210" t="s">
        <v>241</v>
      </c>
      <c r="G210" t="s">
        <v>155</v>
      </c>
    </row>
    <row r="211" spans="1:7" x14ac:dyDescent="0.25">
      <c r="A211" t="s">
        <v>169</v>
      </c>
      <c r="B211" t="s">
        <v>75</v>
      </c>
      <c r="C211" t="s">
        <v>113</v>
      </c>
      <c r="D211">
        <v>2174</v>
      </c>
      <c r="E211" t="s">
        <v>228</v>
      </c>
      <c r="F211" t="s">
        <v>154</v>
      </c>
      <c r="G211" t="s">
        <v>155</v>
      </c>
    </row>
    <row r="212" spans="1:7" x14ac:dyDescent="0.25">
      <c r="A212" t="s">
        <v>87</v>
      </c>
      <c r="B212" t="s">
        <v>75</v>
      </c>
      <c r="C212" t="s">
        <v>80</v>
      </c>
      <c r="D212">
        <v>2046</v>
      </c>
      <c r="E212" t="s">
        <v>161</v>
      </c>
      <c r="F212" t="s">
        <v>154</v>
      </c>
      <c r="G212" t="s">
        <v>155</v>
      </c>
    </row>
    <row r="213" spans="1:7" x14ac:dyDescent="0.25">
      <c r="A213" t="s">
        <v>101</v>
      </c>
      <c r="B213" t="s">
        <v>75</v>
      </c>
      <c r="C213" t="s">
        <v>102</v>
      </c>
      <c r="D213">
        <v>1978</v>
      </c>
      <c r="E213" t="s">
        <v>228</v>
      </c>
      <c r="F213" t="s">
        <v>154</v>
      </c>
      <c r="G213" t="s">
        <v>155</v>
      </c>
    </row>
    <row r="214" spans="1:7" x14ac:dyDescent="0.25">
      <c r="A214" t="s">
        <v>67</v>
      </c>
      <c r="B214" t="s">
        <v>68</v>
      </c>
      <c r="C214" t="s">
        <v>69</v>
      </c>
      <c r="D214">
        <v>1913</v>
      </c>
      <c r="E214" t="s">
        <v>244</v>
      </c>
      <c r="F214" t="s">
        <v>154</v>
      </c>
      <c r="G214" t="s">
        <v>155</v>
      </c>
    </row>
    <row r="215" spans="1:7" x14ac:dyDescent="0.25">
      <c r="A215" t="s">
        <v>169</v>
      </c>
      <c r="B215" t="s">
        <v>75</v>
      </c>
      <c r="C215" t="s">
        <v>113</v>
      </c>
      <c r="D215">
        <v>1889</v>
      </c>
      <c r="E215" t="s">
        <v>230</v>
      </c>
      <c r="F215" t="s">
        <v>154</v>
      </c>
      <c r="G215" t="s">
        <v>155</v>
      </c>
    </row>
    <row r="216" spans="1:7" x14ac:dyDescent="0.25">
      <c r="A216" t="s">
        <v>245</v>
      </c>
      <c r="B216" t="s">
        <v>68</v>
      </c>
      <c r="C216" t="s">
        <v>86</v>
      </c>
      <c r="D216">
        <v>1881</v>
      </c>
      <c r="E216" t="s">
        <v>6</v>
      </c>
      <c r="F216" t="s">
        <v>7</v>
      </c>
      <c r="G216" t="s">
        <v>8</v>
      </c>
    </row>
    <row r="217" spans="1:7" x14ac:dyDescent="0.25">
      <c r="A217" t="s">
        <v>246</v>
      </c>
      <c r="B217" t="s">
        <v>68</v>
      </c>
      <c r="C217" t="s">
        <v>171</v>
      </c>
      <c r="D217">
        <v>1857</v>
      </c>
      <c r="E217" t="s">
        <v>6</v>
      </c>
      <c r="F217" t="s">
        <v>7</v>
      </c>
      <c r="G217" t="s">
        <v>8</v>
      </c>
    </row>
    <row r="218" spans="1:7" x14ac:dyDescent="0.25">
      <c r="A218" t="s">
        <v>112</v>
      </c>
      <c r="B218" t="s">
        <v>75</v>
      </c>
      <c r="C218" t="s">
        <v>113</v>
      </c>
      <c r="D218">
        <v>1818</v>
      </c>
      <c r="E218" t="s">
        <v>247</v>
      </c>
      <c r="F218" t="s">
        <v>154</v>
      </c>
      <c r="G218" t="s">
        <v>155</v>
      </c>
    </row>
    <row r="219" spans="1:7" x14ac:dyDescent="0.25">
      <c r="A219" t="s">
        <v>248</v>
      </c>
      <c r="B219" t="s">
        <v>75</v>
      </c>
      <c r="C219" t="s">
        <v>219</v>
      </c>
      <c r="D219">
        <v>1712</v>
      </c>
      <c r="E219" t="s">
        <v>6</v>
      </c>
      <c r="F219" t="s">
        <v>7</v>
      </c>
      <c r="G219" t="s">
        <v>8</v>
      </c>
    </row>
    <row r="220" spans="1:7" x14ac:dyDescent="0.25">
      <c r="A220" t="s">
        <v>92</v>
      </c>
      <c r="B220" t="s">
        <v>68</v>
      </c>
      <c r="C220" t="s">
        <v>69</v>
      </c>
      <c r="D220">
        <v>1674</v>
      </c>
      <c r="E220" t="s">
        <v>244</v>
      </c>
      <c r="F220" t="s">
        <v>154</v>
      </c>
      <c r="G220" t="s">
        <v>155</v>
      </c>
    </row>
    <row r="221" spans="1:7" x14ac:dyDescent="0.25">
      <c r="A221" t="s">
        <v>249</v>
      </c>
      <c r="B221" t="s">
        <v>68</v>
      </c>
      <c r="C221" t="s">
        <v>86</v>
      </c>
      <c r="D221">
        <v>1594</v>
      </c>
      <c r="E221" t="s">
        <v>6</v>
      </c>
      <c r="F221" t="s">
        <v>7</v>
      </c>
      <c r="G221" t="s">
        <v>8</v>
      </c>
    </row>
    <row r="222" spans="1:7" x14ac:dyDescent="0.25">
      <c r="A222" t="s">
        <v>250</v>
      </c>
      <c r="B222" t="s">
        <v>68</v>
      </c>
      <c r="C222" t="s">
        <v>216</v>
      </c>
      <c r="D222">
        <v>1422</v>
      </c>
      <c r="E222" t="s">
        <v>6</v>
      </c>
      <c r="F222" t="s">
        <v>7</v>
      </c>
      <c r="G222" t="s">
        <v>8</v>
      </c>
    </row>
    <row r="223" spans="1:7" x14ac:dyDescent="0.25">
      <c r="A223" t="s">
        <v>105</v>
      </c>
      <c r="B223" t="s">
        <v>75</v>
      </c>
      <c r="C223" t="s">
        <v>99</v>
      </c>
      <c r="D223">
        <v>1419</v>
      </c>
      <c r="E223" t="s">
        <v>230</v>
      </c>
      <c r="F223" t="s">
        <v>154</v>
      </c>
      <c r="G223" t="s">
        <v>155</v>
      </c>
    </row>
    <row r="224" spans="1:7" x14ac:dyDescent="0.25">
      <c r="A224" t="s">
        <v>251</v>
      </c>
      <c r="B224" t="s">
        <v>68</v>
      </c>
      <c r="C224" t="s">
        <v>168</v>
      </c>
      <c r="D224">
        <v>1389</v>
      </c>
      <c r="E224" t="s">
        <v>6</v>
      </c>
      <c r="F224" t="s">
        <v>7</v>
      </c>
      <c r="G224" t="s">
        <v>8</v>
      </c>
    </row>
    <row r="225" spans="1:7" x14ac:dyDescent="0.25">
      <c r="A225" t="s">
        <v>79</v>
      </c>
      <c r="B225" t="s">
        <v>75</v>
      </c>
      <c r="C225" t="s">
        <v>80</v>
      </c>
      <c r="D225">
        <v>1342</v>
      </c>
      <c r="E225" t="s">
        <v>240</v>
      </c>
      <c r="F225" t="s">
        <v>241</v>
      </c>
      <c r="G225" t="s">
        <v>155</v>
      </c>
    </row>
    <row r="226" spans="1:7" x14ac:dyDescent="0.25">
      <c r="A226" t="s">
        <v>70</v>
      </c>
      <c r="B226" t="s">
        <v>68</v>
      </c>
      <c r="C226" t="s">
        <v>71</v>
      </c>
      <c r="D226">
        <v>1310</v>
      </c>
      <c r="E226" t="s">
        <v>244</v>
      </c>
      <c r="F226" t="s">
        <v>154</v>
      </c>
      <c r="G226" t="s">
        <v>155</v>
      </c>
    </row>
    <row r="227" spans="1:7" x14ac:dyDescent="0.25">
      <c r="A227" t="s">
        <v>63</v>
      </c>
      <c r="B227" t="s">
        <v>48</v>
      </c>
      <c r="C227" t="s">
        <v>64</v>
      </c>
      <c r="D227">
        <v>1258</v>
      </c>
      <c r="E227" t="s">
        <v>161</v>
      </c>
      <c r="F227" t="s">
        <v>154</v>
      </c>
      <c r="G227" t="s">
        <v>155</v>
      </c>
    </row>
    <row r="228" spans="1:7" x14ac:dyDescent="0.25">
      <c r="A228" t="s">
        <v>9</v>
      </c>
      <c r="B228" t="s">
        <v>4</v>
      </c>
      <c r="C228" t="s">
        <v>5</v>
      </c>
      <c r="D228">
        <v>1231</v>
      </c>
      <c r="E228" t="s">
        <v>252</v>
      </c>
      <c r="F228" t="s">
        <v>154</v>
      </c>
      <c r="G228" t="s">
        <v>155</v>
      </c>
    </row>
    <row r="229" spans="1:7" x14ac:dyDescent="0.25">
      <c r="A229" t="s">
        <v>253</v>
      </c>
      <c r="B229" t="s">
        <v>68</v>
      </c>
      <c r="C229" t="s">
        <v>149</v>
      </c>
      <c r="D229">
        <v>1210</v>
      </c>
      <c r="E229" t="s">
        <v>6</v>
      </c>
      <c r="F229" t="s">
        <v>7</v>
      </c>
      <c r="G229" t="s">
        <v>8</v>
      </c>
    </row>
    <row r="230" spans="1:7" x14ac:dyDescent="0.25">
      <c r="A230" t="s">
        <v>52</v>
      </c>
      <c r="B230" t="s">
        <v>48</v>
      </c>
      <c r="C230" t="s">
        <v>51</v>
      </c>
      <c r="D230">
        <v>1205</v>
      </c>
      <c r="E230" t="s">
        <v>254</v>
      </c>
      <c r="F230" t="s">
        <v>154</v>
      </c>
      <c r="G230" t="s">
        <v>155</v>
      </c>
    </row>
    <row r="231" spans="1:7" x14ac:dyDescent="0.25">
      <c r="A231" t="s">
        <v>255</v>
      </c>
      <c r="B231" t="s">
        <v>68</v>
      </c>
      <c r="C231" t="s">
        <v>168</v>
      </c>
      <c r="D231">
        <v>1190</v>
      </c>
      <c r="E231" t="s">
        <v>6</v>
      </c>
      <c r="F231" t="s">
        <v>7</v>
      </c>
      <c r="G231" t="s">
        <v>8</v>
      </c>
    </row>
    <row r="232" spans="1:7" x14ac:dyDescent="0.25">
      <c r="A232" t="s">
        <v>98</v>
      </c>
      <c r="B232" t="s">
        <v>75</v>
      </c>
      <c r="C232" t="s">
        <v>99</v>
      </c>
      <c r="D232">
        <v>1122</v>
      </c>
      <c r="E232" t="s">
        <v>230</v>
      </c>
      <c r="F232" t="s">
        <v>154</v>
      </c>
      <c r="G232" t="s">
        <v>155</v>
      </c>
    </row>
    <row r="233" spans="1:7" x14ac:dyDescent="0.25">
      <c r="A233" t="s">
        <v>256</v>
      </c>
      <c r="B233" t="s">
        <v>68</v>
      </c>
      <c r="C233" t="s">
        <v>216</v>
      </c>
      <c r="D233">
        <v>1100</v>
      </c>
      <c r="E233" t="s">
        <v>6</v>
      </c>
      <c r="F233" t="s">
        <v>7</v>
      </c>
      <c r="G233" t="s">
        <v>8</v>
      </c>
    </row>
    <row r="234" spans="1:7" x14ac:dyDescent="0.25">
      <c r="A234" t="s">
        <v>175</v>
      </c>
      <c r="B234" t="s">
        <v>68</v>
      </c>
      <c r="C234" t="s">
        <v>176</v>
      </c>
      <c r="D234">
        <v>1082</v>
      </c>
      <c r="E234" t="s">
        <v>244</v>
      </c>
      <c r="F234" t="s">
        <v>154</v>
      </c>
      <c r="G234" t="s">
        <v>155</v>
      </c>
    </row>
    <row r="235" spans="1:7" x14ac:dyDescent="0.25">
      <c r="A235" t="s">
        <v>101</v>
      </c>
      <c r="B235" t="s">
        <v>75</v>
      </c>
      <c r="C235" t="s">
        <v>102</v>
      </c>
      <c r="D235">
        <v>1039</v>
      </c>
      <c r="E235" t="s">
        <v>230</v>
      </c>
      <c r="F235" t="s">
        <v>154</v>
      </c>
      <c r="G235" t="s">
        <v>155</v>
      </c>
    </row>
    <row r="236" spans="1:7" x14ac:dyDescent="0.25">
      <c r="A236" t="s">
        <v>162</v>
      </c>
      <c r="B236" t="s">
        <v>75</v>
      </c>
      <c r="C236" t="s">
        <v>113</v>
      </c>
      <c r="D236">
        <v>954</v>
      </c>
      <c r="E236" t="s">
        <v>257</v>
      </c>
      <c r="F236" t="s">
        <v>241</v>
      </c>
      <c r="G236" t="s">
        <v>155</v>
      </c>
    </row>
    <row r="237" spans="1:7" x14ac:dyDescent="0.25">
      <c r="A237" t="s">
        <v>53</v>
      </c>
      <c r="B237" t="s">
        <v>48</v>
      </c>
      <c r="C237" t="s">
        <v>51</v>
      </c>
      <c r="D237">
        <v>949</v>
      </c>
      <c r="E237" t="s">
        <v>258</v>
      </c>
      <c r="F237" t="s">
        <v>154</v>
      </c>
      <c r="G237" t="s">
        <v>155</v>
      </c>
    </row>
    <row r="238" spans="1:7" x14ac:dyDescent="0.25">
      <c r="A238" t="s">
        <v>11</v>
      </c>
      <c r="B238" t="s">
        <v>4</v>
      </c>
      <c r="C238" t="s">
        <v>5</v>
      </c>
      <c r="D238">
        <v>927</v>
      </c>
      <c r="E238" t="s">
        <v>259</v>
      </c>
      <c r="F238" t="s">
        <v>154</v>
      </c>
      <c r="G238" t="s">
        <v>155</v>
      </c>
    </row>
    <row r="239" spans="1:7" x14ac:dyDescent="0.25">
      <c r="A239" t="s">
        <v>138</v>
      </c>
      <c r="B239" t="s">
        <v>75</v>
      </c>
      <c r="C239" t="s">
        <v>76</v>
      </c>
      <c r="D239">
        <v>898</v>
      </c>
      <c r="E239" t="s">
        <v>228</v>
      </c>
      <c r="F239" t="s">
        <v>154</v>
      </c>
      <c r="G239" t="s">
        <v>155</v>
      </c>
    </row>
    <row r="240" spans="1:7" x14ac:dyDescent="0.25">
      <c r="A240" t="s">
        <v>184</v>
      </c>
      <c r="B240" t="s">
        <v>48</v>
      </c>
      <c r="C240" t="s">
        <v>185</v>
      </c>
      <c r="D240">
        <v>751</v>
      </c>
      <c r="E240" t="s">
        <v>153</v>
      </c>
      <c r="F240" t="s">
        <v>154</v>
      </c>
      <c r="G240" t="s">
        <v>155</v>
      </c>
    </row>
    <row r="241" spans="1:7" x14ac:dyDescent="0.25">
      <c r="A241" t="s">
        <v>218</v>
      </c>
      <c r="B241" t="s">
        <v>75</v>
      </c>
      <c r="C241" t="s">
        <v>219</v>
      </c>
      <c r="D241">
        <v>737</v>
      </c>
      <c r="E241" t="s">
        <v>153</v>
      </c>
      <c r="F241" t="s">
        <v>154</v>
      </c>
      <c r="G241" t="s">
        <v>155</v>
      </c>
    </row>
    <row r="242" spans="1:7" x14ac:dyDescent="0.25">
      <c r="A242" t="s">
        <v>23</v>
      </c>
      <c r="B242" t="s">
        <v>4</v>
      </c>
      <c r="C242" t="s">
        <v>5</v>
      </c>
      <c r="D242">
        <v>729</v>
      </c>
      <c r="E242" t="s">
        <v>260</v>
      </c>
      <c r="F242" t="s">
        <v>154</v>
      </c>
      <c r="G242" t="s">
        <v>155</v>
      </c>
    </row>
    <row r="243" spans="1:7" x14ac:dyDescent="0.25">
      <c r="A243" t="s">
        <v>123</v>
      </c>
      <c r="B243" t="s">
        <v>75</v>
      </c>
      <c r="C243" t="s">
        <v>113</v>
      </c>
      <c r="D243">
        <v>722</v>
      </c>
      <c r="E243" t="s">
        <v>261</v>
      </c>
      <c r="F243" t="s">
        <v>154</v>
      </c>
      <c r="G243" t="s">
        <v>155</v>
      </c>
    </row>
    <row r="244" spans="1:7" x14ac:dyDescent="0.25">
      <c r="A244" t="s">
        <v>112</v>
      </c>
      <c r="B244" t="s">
        <v>75</v>
      </c>
      <c r="C244" t="s">
        <v>113</v>
      </c>
      <c r="D244">
        <v>652</v>
      </c>
      <c r="E244" t="s">
        <v>262</v>
      </c>
      <c r="F244" t="s">
        <v>154</v>
      </c>
      <c r="G244" t="s">
        <v>155</v>
      </c>
    </row>
    <row r="245" spans="1:7" x14ac:dyDescent="0.25">
      <c r="A245" t="s">
        <v>218</v>
      </c>
      <c r="B245" t="s">
        <v>75</v>
      </c>
      <c r="C245" t="s">
        <v>219</v>
      </c>
      <c r="D245">
        <v>635</v>
      </c>
      <c r="E245" t="s">
        <v>161</v>
      </c>
      <c r="F245" t="s">
        <v>154</v>
      </c>
      <c r="G245" t="s">
        <v>155</v>
      </c>
    </row>
    <row r="246" spans="1:7" x14ac:dyDescent="0.25">
      <c r="A246" t="s">
        <v>263</v>
      </c>
      <c r="B246" t="s">
        <v>68</v>
      </c>
      <c r="C246" t="s">
        <v>86</v>
      </c>
      <c r="D246">
        <v>609</v>
      </c>
      <c r="E246" t="s">
        <v>6</v>
      </c>
      <c r="F246" t="s">
        <v>7</v>
      </c>
      <c r="G246" t="s">
        <v>8</v>
      </c>
    </row>
    <row r="247" spans="1:7" x14ac:dyDescent="0.25">
      <c r="A247" t="s">
        <v>50</v>
      </c>
      <c r="B247" t="s">
        <v>48</v>
      </c>
      <c r="C247" t="s">
        <v>51</v>
      </c>
      <c r="D247">
        <v>595</v>
      </c>
      <c r="E247" t="s">
        <v>264</v>
      </c>
      <c r="F247" t="s">
        <v>154</v>
      </c>
      <c r="G247" t="s">
        <v>155</v>
      </c>
    </row>
    <row r="248" spans="1:7" x14ac:dyDescent="0.25">
      <c r="A248" t="s">
        <v>150</v>
      </c>
      <c r="B248" t="s">
        <v>68</v>
      </c>
      <c r="C248" t="s">
        <v>151</v>
      </c>
      <c r="D248">
        <v>569</v>
      </c>
      <c r="E248" t="s">
        <v>244</v>
      </c>
      <c r="F248" t="s">
        <v>154</v>
      </c>
      <c r="G248" t="s">
        <v>155</v>
      </c>
    </row>
    <row r="249" spans="1:7" x14ac:dyDescent="0.25">
      <c r="A249" t="s">
        <v>73</v>
      </c>
      <c r="B249" t="s">
        <v>4</v>
      </c>
      <c r="C249" t="s">
        <v>5</v>
      </c>
      <c r="D249">
        <v>540</v>
      </c>
      <c r="E249" t="s">
        <v>265</v>
      </c>
      <c r="F249" t="s">
        <v>154</v>
      </c>
      <c r="G249" t="s">
        <v>155</v>
      </c>
    </row>
    <row r="250" spans="1:7" x14ac:dyDescent="0.25">
      <c r="A250" t="s">
        <v>47</v>
      </c>
      <c r="B250" t="s">
        <v>48</v>
      </c>
      <c r="C250" t="s">
        <v>49</v>
      </c>
      <c r="D250">
        <v>520</v>
      </c>
      <c r="E250" t="s">
        <v>240</v>
      </c>
      <c r="F250" t="s">
        <v>241</v>
      </c>
      <c r="G250" t="s">
        <v>155</v>
      </c>
    </row>
    <row r="251" spans="1:7" x14ac:dyDescent="0.25">
      <c r="A251" t="s">
        <v>266</v>
      </c>
      <c r="B251" t="s">
        <v>68</v>
      </c>
      <c r="C251" t="s">
        <v>216</v>
      </c>
      <c r="D251">
        <v>513</v>
      </c>
      <c r="E251" t="s">
        <v>6</v>
      </c>
      <c r="F251" t="s">
        <v>7</v>
      </c>
      <c r="G251" t="s">
        <v>8</v>
      </c>
    </row>
    <row r="252" spans="1:7" x14ac:dyDescent="0.25">
      <c r="A252" t="s">
        <v>267</v>
      </c>
      <c r="B252" t="s">
        <v>68</v>
      </c>
      <c r="C252" t="s">
        <v>176</v>
      </c>
      <c r="D252">
        <v>507</v>
      </c>
      <c r="E252" t="s">
        <v>6</v>
      </c>
      <c r="F252" t="s">
        <v>7</v>
      </c>
      <c r="G252" t="s">
        <v>8</v>
      </c>
    </row>
    <row r="253" spans="1:7" x14ac:dyDescent="0.25">
      <c r="A253" t="s">
        <v>135</v>
      </c>
      <c r="B253" t="s">
        <v>75</v>
      </c>
      <c r="C253" t="s">
        <v>102</v>
      </c>
      <c r="D253">
        <v>505</v>
      </c>
      <c r="E253" t="s">
        <v>228</v>
      </c>
      <c r="F253" t="s">
        <v>154</v>
      </c>
      <c r="G253" t="s">
        <v>155</v>
      </c>
    </row>
    <row r="254" spans="1:7" x14ac:dyDescent="0.25">
      <c r="A254" t="s">
        <v>170</v>
      </c>
      <c r="B254" t="s">
        <v>68</v>
      </c>
      <c r="C254" t="s">
        <v>171</v>
      </c>
      <c r="D254">
        <v>504</v>
      </c>
      <c r="E254" t="s">
        <v>268</v>
      </c>
      <c r="F254" t="s">
        <v>154</v>
      </c>
      <c r="G254" t="s">
        <v>155</v>
      </c>
    </row>
    <row r="255" spans="1:7" x14ac:dyDescent="0.25">
      <c r="A255" t="s">
        <v>109</v>
      </c>
      <c r="B255" t="s">
        <v>68</v>
      </c>
      <c r="C255" t="s">
        <v>86</v>
      </c>
      <c r="D255">
        <v>497</v>
      </c>
      <c r="E255" t="s">
        <v>269</v>
      </c>
      <c r="F255" t="s">
        <v>154</v>
      </c>
      <c r="G255" t="s">
        <v>155</v>
      </c>
    </row>
    <row r="256" spans="1:7" x14ac:dyDescent="0.25">
      <c r="A256" t="s">
        <v>26</v>
      </c>
      <c r="B256" t="s">
        <v>4</v>
      </c>
      <c r="C256" t="s">
        <v>5</v>
      </c>
      <c r="D256">
        <v>490</v>
      </c>
      <c r="E256" t="s">
        <v>260</v>
      </c>
      <c r="F256" t="s">
        <v>154</v>
      </c>
      <c r="G256" t="s">
        <v>155</v>
      </c>
    </row>
    <row r="257" spans="1:7" x14ac:dyDescent="0.25">
      <c r="A257" t="s">
        <v>20</v>
      </c>
      <c r="B257" t="s">
        <v>4</v>
      </c>
      <c r="C257" t="s">
        <v>5</v>
      </c>
      <c r="D257">
        <v>466</v>
      </c>
      <c r="E257" t="s">
        <v>260</v>
      </c>
      <c r="F257" t="s">
        <v>154</v>
      </c>
      <c r="G257" t="s">
        <v>155</v>
      </c>
    </row>
    <row r="258" spans="1:7" x14ac:dyDescent="0.25">
      <c r="A258" t="s">
        <v>140</v>
      </c>
      <c r="B258" t="s">
        <v>68</v>
      </c>
      <c r="C258" t="s">
        <v>141</v>
      </c>
      <c r="D258">
        <v>464</v>
      </c>
      <c r="E258" t="s">
        <v>244</v>
      </c>
      <c r="F258" t="s">
        <v>154</v>
      </c>
      <c r="G258" t="s">
        <v>155</v>
      </c>
    </row>
    <row r="259" spans="1:7" x14ac:dyDescent="0.25">
      <c r="A259" t="s">
        <v>270</v>
      </c>
      <c r="B259" t="s">
        <v>68</v>
      </c>
      <c r="C259" t="s">
        <v>168</v>
      </c>
      <c r="D259">
        <v>428</v>
      </c>
      <c r="E259" t="s">
        <v>6</v>
      </c>
      <c r="F259" t="s">
        <v>7</v>
      </c>
      <c r="G259" t="s">
        <v>8</v>
      </c>
    </row>
    <row r="260" spans="1:7" x14ac:dyDescent="0.25">
      <c r="A260" t="s">
        <v>128</v>
      </c>
      <c r="B260" t="s">
        <v>48</v>
      </c>
      <c r="C260" t="s">
        <v>129</v>
      </c>
      <c r="D260">
        <v>409</v>
      </c>
      <c r="E260" t="s">
        <v>153</v>
      </c>
      <c r="F260" t="s">
        <v>154</v>
      </c>
      <c r="G260" t="s">
        <v>155</v>
      </c>
    </row>
    <row r="261" spans="1:7" x14ac:dyDescent="0.25">
      <c r="A261" t="s">
        <v>3</v>
      </c>
      <c r="B261" t="s">
        <v>4</v>
      </c>
      <c r="C261" t="s">
        <v>5</v>
      </c>
      <c r="D261">
        <v>407</v>
      </c>
      <c r="E261" t="s">
        <v>271</v>
      </c>
      <c r="F261" t="s">
        <v>154</v>
      </c>
      <c r="G261" t="s">
        <v>155</v>
      </c>
    </row>
    <row r="262" spans="1:7" x14ac:dyDescent="0.25">
      <c r="A262" t="s">
        <v>55</v>
      </c>
      <c r="B262" t="s">
        <v>4</v>
      </c>
      <c r="C262" t="s">
        <v>5</v>
      </c>
      <c r="D262">
        <v>405</v>
      </c>
      <c r="E262" t="s">
        <v>272</v>
      </c>
      <c r="F262" t="s">
        <v>154</v>
      </c>
      <c r="G262" t="s">
        <v>155</v>
      </c>
    </row>
    <row r="263" spans="1:7" x14ac:dyDescent="0.25">
      <c r="A263" t="s">
        <v>273</v>
      </c>
      <c r="B263" t="s">
        <v>68</v>
      </c>
      <c r="C263" t="s">
        <v>149</v>
      </c>
      <c r="D263">
        <v>403</v>
      </c>
      <c r="E263" t="s">
        <v>6</v>
      </c>
      <c r="F263" t="s">
        <v>7</v>
      </c>
      <c r="G263" t="s">
        <v>8</v>
      </c>
    </row>
    <row r="264" spans="1:7" x14ac:dyDescent="0.25">
      <c r="A264" t="s">
        <v>124</v>
      </c>
      <c r="B264" t="s">
        <v>68</v>
      </c>
      <c r="C264" t="s">
        <v>125</v>
      </c>
      <c r="D264">
        <v>400</v>
      </c>
      <c r="E264" t="s">
        <v>244</v>
      </c>
      <c r="F264" t="s">
        <v>154</v>
      </c>
      <c r="G264" t="s">
        <v>155</v>
      </c>
    </row>
    <row r="265" spans="1:7" x14ac:dyDescent="0.25">
      <c r="A265" t="s">
        <v>274</v>
      </c>
      <c r="B265" t="s">
        <v>68</v>
      </c>
      <c r="C265" t="s">
        <v>216</v>
      </c>
      <c r="D265">
        <v>385</v>
      </c>
      <c r="E265" t="s">
        <v>6</v>
      </c>
      <c r="F265" t="s">
        <v>7</v>
      </c>
      <c r="G265" t="s">
        <v>8</v>
      </c>
    </row>
    <row r="266" spans="1:7" x14ac:dyDescent="0.25">
      <c r="A266" t="s">
        <v>67</v>
      </c>
      <c r="B266" t="s">
        <v>68</v>
      </c>
      <c r="C266" t="s">
        <v>69</v>
      </c>
      <c r="D266">
        <v>385</v>
      </c>
      <c r="E266" t="s">
        <v>275</v>
      </c>
      <c r="F266" t="s">
        <v>154</v>
      </c>
      <c r="G266" t="s">
        <v>155</v>
      </c>
    </row>
    <row r="267" spans="1:7" x14ac:dyDescent="0.25">
      <c r="A267" t="s">
        <v>122</v>
      </c>
      <c r="B267" t="s">
        <v>68</v>
      </c>
      <c r="C267" t="s">
        <v>86</v>
      </c>
      <c r="D267">
        <v>371</v>
      </c>
      <c r="E267" t="s">
        <v>276</v>
      </c>
      <c r="F267" t="s">
        <v>154</v>
      </c>
      <c r="G267" t="s">
        <v>155</v>
      </c>
    </row>
    <row r="268" spans="1:7" x14ac:dyDescent="0.25">
      <c r="A268" t="s">
        <v>52</v>
      </c>
      <c r="B268" t="s">
        <v>48</v>
      </c>
      <c r="C268" t="s">
        <v>51</v>
      </c>
      <c r="D268">
        <v>363</v>
      </c>
      <c r="E268" t="s">
        <v>277</v>
      </c>
      <c r="F268" t="s">
        <v>241</v>
      </c>
      <c r="G268" t="s">
        <v>155</v>
      </c>
    </row>
    <row r="269" spans="1:7" x14ac:dyDescent="0.25">
      <c r="A269" t="s">
        <v>82</v>
      </c>
      <c r="B269" t="s">
        <v>4</v>
      </c>
      <c r="C269" t="s">
        <v>5</v>
      </c>
      <c r="D269">
        <v>339</v>
      </c>
      <c r="E269" t="s">
        <v>265</v>
      </c>
      <c r="F269" t="s">
        <v>154</v>
      </c>
      <c r="G269" t="s">
        <v>155</v>
      </c>
    </row>
    <row r="270" spans="1:7" x14ac:dyDescent="0.25">
      <c r="A270" t="s">
        <v>181</v>
      </c>
      <c r="B270" t="s">
        <v>68</v>
      </c>
      <c r="C270" t="s">
        <v>86</v>
      </c>
      <c r="D270">
        <v>335</v>
      </c>
      <c r="E270" t="s">
        <v>276</v>
      </c>
      <c r="F270" t="s">
        <v>154</v>
      </c>
      <c r="G270" t="s">
        <v>155</v>
      </c>
    </row>
    <row r="271" spans="1:7" x14ac:dyDescent="0.25">
      <c r="A271" t="s">
        <v>92</v>
      </c>
      <c r="B271" t="s">
        <v>68</v>
      </c>
      <c r="C271" t="s">
        <v>69</v>
      </c>
      <c r="D271">
        <v>334</v>
      </c>
      <c r="E271" t="s">
        <v>275</v>
      </c>
      <c r="F271" t="s">
        <v>154</v>
      </c>
      <c r="G271" t="s">
        <v>155</v>
      </c>
    </row>
    <row r="272" spans="1:7" x14ac:dyDescent="0.25">
      <c r="A272" t="s">
        <v>50</v>
      </c>
      <c r="B272" t="s">
        <v>48</v>
      </c>
      <c r="C272" t="s">
        <v>51</v>
      </c>
      <c r="D272">
        <v>333</v>
      </c>
      <c r="E272" t="s">
        <v>277</v>
      </c>
      <c r="F272" t="s">
        <v>241</v>
      </c>
      <c r="G272" t="s">
        <v>155</v>
      </c>
    </row>
    <row r="273" spans="1:7" x14ac:dyDescent="0.25">
      <c r="A273" t="s">
        <v>210</v>
      </c>
      <c r="B273" t="s">
        <v>48</v>
      </c>
      <c r="C273" t="s">
        <v>211</v>
      </c>
      <c r="D273">
        <v>320</v>
      </c>
      <c r="E273" t="s">
        <v>228</v>
      </c>
      <c r="F273" t="s">
        <v>154</v>
      </c>
      <c r="G273" t="s">
        <v>155</v>
      </c>
    </row>
    <row r="274" spans="1:7" x14ac:dyDescent="0.25">
      <c r="A274" t="s">
        <v>53</v>
      </c>
      <c r="B274" t="s">
        <v>48</v>
      </c>
      <c r="C274" t="s">
        <v>51</v>
      </c>
      <c r="D274">
        <v>314</v>
      </c>
      <c r="E274" t="s">
        <v>277</v>
      </c>
      <c r="F274" t="s">
        <v>241</v>
      </c>
      <c r="G274" t="s">
        <v>155</v>
      </c>
    </row>
    <row r="275" spans="1:7" x14ac:dyDescent="0.25">
      <c r="A275" t="s">
        <v>85</v>
      </c>
      <c r="B275" t="s">
        <v>68</v>
      </c>
      <c r="C275" t="s">
        <v>86</v>
      </c>
      <c r="D275">
        <v>312</v>
      </c>
      <c r="E275" t="s">
        <v>276</v>
      </c>
      <c r="F275" t="s">
        <v>154</v>
      </c>
      <c r="G275" t="s">
        <v>155</v>
      </c>
    </row>
    <row r="276" spans="1:7" x14ac:dyDescent="0.25">
      <c r="A276" t="s">
        <v>148</v>
      </c>
      <c r="B276" t="s">
        <v>68</v>
      </c>
      <c r="C276" t="s">
        <v>149</v>
      </c>
      <c r="D276">
        <v>308</v>
      </c>
      <c r="E276" t="s">
        <v>278</v>
      </c>
      <c r="F276" t="s">
        <v>154</v>
      </c>
      <c r="G276" t="s">
        <v>155</v>
      </c>
    </row>
    <row r="277" spans="1:7" x14ac:dyDescent="0.25">
      <c r="A277" t="s">
        <v>184</v>
      </c>
      <c r="B277" t="s">
        <v>48</v>
      </c>
      <c r="C277" t="s">
        <v>185</v>
      </c>
      <c r="D277">
        <v>307</v>
      </c>
      <c r="E277" t="s">
        <v>161</v>
      </c>
      <c r="F277" t="s">
        <v>154</v>
      </c>
      <c r="G277" t="s">
        <v>155</v>
      </c>
    </row>
    <row r="278" spans="1:7" x14ac:dyDescent="0.25">
      <c r="A278" t="s">
        <v>279</v>
      </c>
      <c r="B278" t="s">
        <v>68</v>
      </c>
      <c r="C278" t="s">
        <v>280</v>
      </c>
      <c r="D278">
        <v>306</v>
      </c>
      <c r="E278" t="s">
        <v>6</v>
      </c>
      <c r="F278" t="s">
        <v>7</v>
      </c>
      <c r="G278" t="s">
        <v>8</v>
      </c>
    </row>
    <row r="279" spans="1:7" x14ac:dyDescent="0.25">
      <c r="A279" t="s">
        <v>281</v>
      </c>
      <c r="B279" t="s">
        <v>68</v>
      </c>
      <c r="C279" t="s">
        <v>280</v>
      </c>
      <c r="D279">
        <v>287</v>
      </c>
      <c r="E279" t="s">
        <v>6</v>
      </c>
      <c r="F279" t="s">
        <v>7</v>
      </c>
      <c r="G279" t="s">
        <v>8</v>
      </c>
    </row>
    <row r="280" spans="1:7" x14ac:dyDescent="0.25">
      <c r="A280" t="s">
        <v>30</v>
      </c>
      <c r="B280" t="s">
        <v>4</v>
      </c>
      <c r="C280" t="s">
        <v>5</v>
      </c>
      <c r="D280">
        <v>286</v>
      </c>
      <c r="E280" t="s">
        <v>260</v>
      </c>
      <c r="F280" t="s">
        <v>154</v>
      </c>
      <c r="G280" t="s">
        <v>155</v>
      </c>
    </row>
    <row r="281" spans="1:7" x14ac:dyDescent="0.25">
      <c r="A281" t="s">
        <v>248</v>
      </c>
      <c r="B281" t="s">
        <v>75</v>
      </c>
      <c r="C281" t="s">
        <v>219</v>
      </c>
      <c r="D281">
        <v>270</v>
      </c>
      <c r="E281" t="s">
        <v>282</v>
      </c>
      <c r="F281" t="s">
        <v>154</v>
      </c>
      <c r="G281" t="s">
        <v>155</v>
      </c>
    </row>
    <row r="282" spans="1:7" x14ac:dyDescent="0.25">
      <c r="A282" t="s">
        <v>248</v>
      </c>
      <c r="B282" t="s">
        <v>75</v>
      </c>
      <c r="C282" t="s">
        <v>219</v>
      </c>
      <c r="D282">
        <v>268</v>
      </c>
      <c r="E282" t="s">
        <v>283</v>
      </c>
      <c r="F282" t="s">
        <v>154</v>
      </c>
      <c r="G282" t="s">
        <v>155</v>
      </c>
    </row>
    <row r="283" spans="1:7" x14ac:dyDescent="0.25">
      <c r="A283" t="s">
        <v>175</v>
      </c>
      <c r="B283" t="s">
        <v>68</v>
      </c>
      <c r="C283" t="s">
        <v>176</v>
      </c>
      <c r="D283">
        <v>265</v>
      </c>
      <c r="E283" t="s">
        <v>275</v>
      </c>
      <c r="F283" t="s">
        <v>154</v>
      </c>
      <c r="G283" t="s">
        <v>155</v>
      </c>
    </row>
    <row r="284" spans="1:7" x14ac:dyDescent="0.25">
      <c r="A284" t="s">
        <v>128</v>
      </c>
      <c r="B284" t="s">
        <v>48</v>
      </c>
      <c r="C284" t="s">
        <v>129</v>
      </c>
      <c r="D284">
        <v>259</v>
      </c>
      <c r="E284" t="s">
        <v>161</v>
      </c>
      <c r="F284" t="s">
        <v>154</v>
      </c>
      <c r="G284" t="s">
        <v>155</v>
      </c>
    </row>
    <row r="285" spans="1:7" x14ac:dyDescent="0.25">
      <c r="A285" t="s">
        <v>27</v>
      </c>
      <c r="B285" t="s">
        <v>4</v>
      </c>
      <c r="C285" t="s">
        <v>5</v>
      </c>
      <c r="D285">
        <v>243</v>
      </c>
      <c r="E285" t="s">
        <v>260</v>
      </c>
      <c r="F285" t="s">
        <v>154</v>
      </c>
      <c r="G285" t="s">
        <v>155</v>
      </c>
    </row>
    <row r="286" spans="1:7" x14ac:dyDescent="0.25">
      <c r="A286" t="s">
        <v>138</v>
      </c>
      <c r="B286" t="s">
        <v>75</v>
      </c>
      <c r="C286" t="s">
        <v>76</v>
      </c>
      <c r="D286">
        <v>224</v>
      </c>
      <c r="E286" t="s">
        <v>230</v>
      </c>
      <c r="F286" t="s">
        <v>154</v>
      </c>
      <c r="G286" t="s">
        <v>155</v>
      </c>
    </row>
    <row r="287" spans="1:7" x14ac:dyDescent="0.25">
      <c r="A287" t="s">
        <v>284</v>
      </c>
      <c r="B287" t="s">
        <v>68</v>
      </c>
      <c r="C287" t="s">
        <v>280</v>
      </c>
      <c r="D287">
        <v>219</v>
      </c>
      <c r="E287" t="s">
        <v>6</v>
      </c>
      <c r="F287" t="s">
        <v>7</v>
      </c>
      <c r="G287" t="s">
        <v>8</v>
      </c>
    </row>
    <row r="288" spans="1:7" x14ac:dyDescent="0.25">
      <c r="A288" t="s">
        <v>190</v>
      </c>
      <c r="B288" t="s">
        <v>75</v>
      </c>
      <c r="C288" t="s">
        <v>76</v>
      </c>
      <c r="D288">
        <v>215</v>
      </c>
      <c r="E288" t="s">
        <v>228</v>
      </c>
      <c r="F288" t="s">
        <v>154</v>
      </c>
      <c r="G288" t="s">
        <v>155</v>
      </c>
    </row>
    <row r="289" spans="1:7" x14ac:dyDescent="0.25">
      <c r="A289" t="s">
        <v>285</v>
      </c>
      <c r="B289" t="s">
        <v>75</v>
      </c>
      <c r="C289" t="s">
        <v>219</v>
      </c>
      <c r="D289">
        <v>207</v>
      </c>
      <c r="E289" t="s">
        <v>6</v>
      </c>
      <c r="F289" t="s">
        <v>7</v>
      </c>
      <c r="G289" t="s">
        <v>8</v>
      </c>
    </row>
    <row r="290" spans="1:7" x14ac:dyDescent="0.25">
      <c r="A290" t="s">
        <v>286</v>
      </c>
      <c r="B290" t="s">
        <v>68</v>
      </c>
      <c r="C290" t="s">
        <v>280</v>
      </c>
      <c r="D290">
        <v>206</v>
      </c>
      <c r="E290" t="s">
        <v>6</v>
      </c>
      <c r="F290" t="s">
        <v>7</v>
      </c>
      <c r="G290" t="s">
        <v>8</v>
      </c>
    </row>
    <row r="291" spans="1:7" x14ac:dyDescent="0.25">
      <c r="A291" t="s">
        <v>77</v>
      </c>
      <c r="B291" t="s">
        <v>4</v>
      </c>
      <c r="C291" t="s">
        <v>5</v>
      </c>
      <c r="D291">
        <v>201</v>
      </c>
      <c r="E291" t="s">
        <v>265</v>
      </c>
      <c r="F291" t="s">
        <v>154</v>
      </c>
      <c r="G291" t="s">
        <v>155</v>
      </c>
    </row>
    <row r="292" spans="1:7" x14ac:dyDescent="0.25">
      <c r="A292" t="s">
        <v>287</v>
      </c>
      <c r="B292" t="s">
        <v>68</v>
      </c>
      <c r="C292" t="s">
        <v>86</v>
      </c>
      <c r="D292">
        <v>196</v>
      </c>
      <c r="E292" t="s">
        <v>6</v>
      </c>
      <c r="F292" t="s">
        <v>7</v>
      </c>
      <c r="G292" t="s">
        <v>8</v>
      </c>
    </row>
    <row r="293" spans="1:7" x14ac:dyDescent="0.25">
      <c r="A293" t="s">
        <v>57</v>
      </c>
      <c r="B293" t="s">
        <v>4</v>
      </c>
      <c r="C293" t="s">
        <v>5</v>
      </c>
      <c r="D293">
        <v>194</v>
      </c>
      <c r="E293" t="s">
        <v>272</v>
      </c>
      <c r="F293" t="s">
        <v>154</v>
      </c>
      <c r="G293" t="s">
        <v>155</v>
      </c>
    </row>
    <row r="294" spans="1:7" x14ac:dyDescent="0.25">
      <c r="A294" t="s">
        <v>221</v>
      </c>
      <c r="B294" t="s">
        <v>48</v>
      </c>
      <c r="C294" t="s">
        <v>222</v>
      </c>
      <c r="D294">
        <v>190</v>
      </c>
      <c r="E294" t="s">
        <v>228</v>
      </c>
      <c r="F294" t="s">
        <v>154</v>
      </c>
      <c r="G294" t="s">
        <v>155</v>
      </c>
    </row>
    <row r="295" spans="1:7" x14ac:dyDescent="0.25">
      <c r="A295" t="s">
        <v>220</v>
      </c>
      <c r="B295" t="s">
        <v>75</v>
      </c>
      <c r="C295" t="s">
        <v>219</v>
      </c>
      <c r="D295">
        <v>178</v>
      </c>
      <c r="E295" t="s">
        <v>288</v>
      </c>
      <c r="F295" t="s">
        <v>154</v>
      </c>
      <c r="G295" t="s">
        <v>155</v>
      </c>
    </row>
    <row r="296" spans="1:7" x14ac:dyDescent="0.25">
      <c r="A296" t="s">
        <v>234</v>
      </c>
      <c r="B296" t="s">
        <v>68</v>
      </c>
      <c r="C296" t="s">
        <v>216</v>
      </c>
      <c r="D296">
        <v>170</v>
      </c>
      <c r="E296" t="s">
        <v>244</v>
      </c>
      <c r="F296" t="s">
        <v>154</v>
      </c>
      <c r="G296" t="s">
        <v>155</v>
      </c>
    </row>
    <row r="297" spans="1:7" x14ac:dyDescent="0.25">
      <c r="A297" t="s">
        <v>289</v>
      </c>
      <c r="B297" t="s">
        <v>68</v>
      </c>
      <c r="C297" t="s">
        <v>86</v>
      </c>
      <c r="D297">
        <v>134</v>
      </c>
      <c r="E297" t="s">
        <v>6</v>
      </c>
      <c r="F297" t="s">
        <v>7</v>
      </c>
      <c r="G297" t="s">
        <v>8</v>
      </c>
    </row>
    <row r="298" spans="1:7" x14ac:dyDescent="0.25">
      <c r="A298" t="s">
        <v>209</v>
      </c>
      <c r="B298" t="s">
        <v>68</v>
      </c>
      <c r="C298" t="s">
        <v>149</v>
      </c>
      <c r="D298">
        <v>127</v>
      </c>
      <c r="E298" t="s">
        <v>268</v>
      </c>
      <c r="F298" t="s">
        <v>154</v>
      </c>
      <c r="G298" t="s">
        <v>155</v>
      </c>
    </row>
    <row r="299" spans="1:7" x14ac:dyDescent="0.25">
      <c r="A299" t="s">
        <v>290</v>
      </c>
      <c r="B299" t="s">
        <v>68</v>
      </c>
      <c r="C299" t="s">
        <v>86</v>
      </c>
      <c r="D299">
        <v>105</v>
      </c>
      <c r="E299" t="s">
        <v>6</v>
      </c>
      <c r="F299" t="s">
        <v>7</v>
      </c>
      <c r="G299" t="s">
        <v>8</v>
      </c>
    </row>
    <row r="300" spans="1:7" x14ac:dyDescent="0.25">
      <c r="A300" t="s">
        <v>172</v>
      </c>
      <c r="B300" t="s">
        <v>68</v>
      </c>
      <c r="C300" t="s">
        <v>168</v>
      </c>
      <c r="D300">
        <v>104</v>
      </c>
      <c r="E300" t="s">
        <v>291</v>
      </c>
      <c r="F300" t="s">
        <v>154</v>
      </c>
      <c r="G300" t="s">
        <v>155</v>
      </c>
    </row>
    <row r="301" spans="1:7" x14ac:dyDescent="0.25">
      <c r="A301" t="s">
        <v>194</v>
      </c>
      <c r="B301" t="s">
        <v>68</v>
      </c>
      <c r="C301" t="s">
        <v>69</v>
      </c>
      <c r="D301">
        <v>98</v>
      </c>
      <c r="E301" t="s">
        <v>244</v>
      </c>
      <c r="F301" t="s">
        <v>154</v>
      </c>
      <c r="G301" t="s">
        <v>155</v>
      </c>
    </row>
    <row r="302" spans="1:7" x14ac:dyDescent="0.25">
      <c r="A302" t="s">
        <v>242</v>
      </c>
      <c r="B302" t="s">
        <v>68</v>
      </c>
      <c r="C302" t="s">
        <v>243</v>
      </c>
      <c r="D302">
        <v>86</v>
      </c>
      <c r="E302" t="s">
        <v>268</v>
      </c>
      <c r="F302" t="s">
        <v>154</v>
      </c>
      <c r="G302" t="s">
        <v>155</v>
      </c>
    </row>
    <row r="303" spans="1:7" x14ac:dyDescent="0.25">
      <c r="A303" t="s">
        <v>169</v>
      </c>
      <c r="B303" t="s">
        <v>75</v>
      </c>
      <c r="C303" t="s">
        <v>113</v>
      </c>
      <c r="D303">
        <v>80</v>
      </c>
      <c r="E303" t="s">
        <v>257</v>
      </c>
      <c r="F303" t="s">
        <v>241</v>
      </c>
      <c r="G303" t="s">
        <v>155</v>
      </c>
    </row>
    <row r="304" spans="1:7" x14ac:dyDescent="0.25">
      <c r="A304" t="s">
        <v>105</v>
      </c>
      <c r="B304" t="s">
        <v>75</v>
      </c>
      <c r="C304" t="s">
        <v>99</v>
      </c>
      <c r="D304">
        <v>79</v>
      </c>
      <c r="E304" t="s">
        <v>257</v>
      </c>
      <c r="F304" t="s">
        <v>241</v>
      </c>
      <c r="G304" t="s">
        <v>155</v>
      </c>
    </row>
    <row r="305" spans="1:7" x14ac:dyDescent="0.25">
      <c r="A305" t="s">
        <v>292</v>
      </c>
      <c r="B305" t="s">
        <v>68</v>
      </c>
      <c r="C305" t="s">
        <v>280</v>
      </c>
      <c r="D305">
        <v>75</v>
      </c>
      <c r="E305" t="s">
        <v>6</v>
      </c>
      <c r="F305" t="s">
        <v>7</v>
      </c>
      <c r="G305" t="s">
        <v>8</v>
      </c>
    </row>
    <row r="306" spans="1:7" x14ac:dyDescent="0.25">
      <c r="A306" t="s">
        <v>52</v>
      </c>
      <c r="B306" t="s">
        <v>48</v>
      </c>
      <c r="C306" t="s">
        <v>51</v>
      </c>
      <c r="D306">
        <v>70</v>
      </c>
      <c r="E306" t="s">
        <v>293</v>
      </c>
      <c r="F306" t="s">
        <v>241</v>
      </c>
      <c r="G306" t="s">
        <v>155</v>
      </c>
    </row>
    <row r="307" spans="1:7" x14ac:dyDescent="0.25">
      <c r="A307" t="s">
        <v>294</v>
      </c>
      <c r="B307" t="s">
        <v>68</v>
      </c>
      <c r="C307" t="s">
        <v>280</v>
      </c>
      <c r="D307">
        <v>69</v>
      </c>
      <c r="E307" t="s">
        <v>6</v>
      </c>
      <c r="F307" t="s">
        <v>7</v>
      </c>
      <c r="G307" t="s">
        <v>8</v>
      </c>
    </row>
    <row r="308" spans="1:7" x14ac:dyDescent="0.25">
      <c r="A308" t="s">
        <v>53</v>
      </c>
      <c r="B308" t="s">
        <v>48</v>
      </c>
      <c r="C308" t="s">
        <v>51</v>
      </c>
      <c r="D308">
        <v>67</v>
      </c>
      <c r="E308" t="s">
        <v>293</v>
      </c>
      <c r="F308" t="s">
        <v>241</v>
      </c>
      <c r="G308" t="s">
        <v>155</v>
      </c>
    </row>
    <row r="309" spans="1:7" x14ac:dyDescent="0.25">
      <c r="A309" t="s">
        <v>295</v>
      </c>
      <c r="B309" t="s">
        <v>68</v>
      </c>
      <c r="C309" t="s">
        <v>280</v>
      </c>
      <c r="D309">
        <v>66</v>
      </c>
      <c r="E309" t="s">
        <v>6</v>
      </c>
      <c r="F309" t="s">
        <v>7</v>
      </c>
      <c r="G309" t="s">
        <v>8</v>
      </c>
    </row>
    <row r="310" spans="1:7" x14ac:dyDescent="0.25">
      <c r="A310" t="s">
        <v>50</v>
      </c>
      <c r="B310" t="s">
        <v>48</v>
      </c>
      <c r="C310" t="s">
        <v>51</v>
      </c>
      <c r="D310">
        <v>66</v>
      </c>
      <c r="E310" t="s">
        <v>293</v>
      </c>
      <c r="F310" t="s">
        <v>241</v>
      </c>
      <c r="G310" t="s">
        <v>155</v>
      </c>
    </row>
    <row r="311" spans="1:7" x14ac:dyDescent="0.25">
      <c r="A311" t="s">
        <v>296</v>
      </c>
      <c r="B311" t="s">
        <v>68</v>
      </c>
      <c r="C311" t="s">
        <v>280</v>
      </c>
      <c r="D311">
        <v>63</v>
      </c>
      <c r="E311" t="s">
        <v>6</v>
      </c>
      <c r="F311" t="s">
        <v>7</v>
      </c>
      <c r="G311" t="s">
        <v>8</v>
      </c>
    </row>
    <row r="312" spans="1:7" x14ac:dyDescent="0.25">
      <c r="A312" t="s">
        <v>191</v>
      </c>
      <c r="B312" t="s">
        <v>68</v>
      </c>
      <c r="C312" t="s">
        <v>86</v>
      </c>
      <c r="D312">
        <v>60</v>
      </c>
      <c r="E312" t="s">
        <v>276</v>
      </c>
      <c r="F312" t="s">
        <v>154</v>
      </c>
      <c r="G312" t="s">
        <v>155</v>
      </c>
    </row>
    <row r="313" spans="1:7" x14ac:dyDescent="0.25">
      <c r="A313" t="s">
        <v>180</v>
      </c>
      <c r="B313" t="s">
        <v>68</v>
      </c>
      <c r="C313" t="s">
        <v>86</v>
      </c>
      <c r="D313">
        <v>57</v>
      </c>
      <c r="E313" t="s">
        <v>276</v>
      </c>
      <c r="F313" t="s">
        <v>154</v>
      </c>
      <c r="G313" t="s">
        <v>155</v>
      </c>
    </row>
    <row r="314" spans="1:7" x14ac:dyDescent="0.25">
      <c r="A314" t="s">
        <v>297</v>
      </c>
      <c r="B314" t="s">
        <v>68</v>
      </c>
      <c r="C314" t="s">
        <v>280</v>
      </c>
      <c r="D314">
        <v>57</v>
      </c>
      <c r="E314" t="s">
        <v>6</v>
      </c>
      <c r="F314" t="s">
        <v>7</v>
      </c>
      <c r="G314" t="s">
        <v>8</v>
      </c>
    </row>
    <row r="315" spans="1:7" x14ac:dyDescent="0.25">
      <c r="A315" t="s">
        <v>209</v>
      </c>
      <c r="B315" t="s">
        <v>68</v>
      </c>
      <c r="C315" t="s">
        <v>149</v>
      </c>
      <c r="D315">
        <v>56</v>
      </c>
      <c r="E315" t="s">
        <v>275</v>
      </c>
      <c r="F315" t="s">
        <v>154</v>
      </c>
      <c r="G315" t="s">
        <v>155</v>
      </c>
    </row>
    <row r="316" spans="1:7" x14ac:dyDescent="0.25">
      <c r="A316" t="s">
        <v>123</v>
      </c>
      <c r="B316" t="s">
        <v>75</v>
      </c>
      <c r="C316" t="s">
        <v>113</v>
      </c>
      <c r="D316">
        <v>55</v>
      </c>
      <c r="E316" t="s">
        <v>161</v>
      </c>
      <c r="F316" t="s">
        <v>154</v>
      </c>
      <c r="G316" t="s">
        <v>155</v>
      </c>
    </row>
    <row r="317" spans="1:7" x14ac:dyDescent="0.25">
      <c r="A317" t="s">
        <v>298</v>
      </c>
      <c r="B317" t="s">
        <v>68</v>
      </c>
      <c r="C317" t="s">
        <v>280</v>
      </c>
      <c r="D317">
        <v>52</v>
      </c>
      <c r="E317" t="s">
        <v>6</v>
      </c>
      <c r="F317" t="s">
        <v>7</v>
      </c>
      <c r="G317" t="s">
        <v>8</v>
      </c>
    </row>
    <row r="318" spans="1:7" x14ac:dyDescent="0.25">
      <c r="A318" t="s">
        <v>147</v>
      </c>
      <c r="B318" t="s">
        <v>75</v>
      </c>
      <c r="C318" t="s">
        <v>113</v>
      </c>
      <c r="D318">
        <v>52</v>
      </c>
      <c r="E318" t="s">
        <v>299</v>
      </c>
      <c r="F318" t="s">
        <v>154</v>
      </c>
      <c r="G318" t="s">
        <v>155</v>
      </c>
    </row>
    <row r="319" spans="1:7" x14ac:dyDescent="0.25">
      <c r="A319" t="s">
        <v>248</v>
      </c>
      <c r="B319" t="s">
        <v>75</v>
      </c>
      <c r="C319" t="s">
        <v>219</v>
      </c>
      <c r="D319">
        <v>51</v>
      </c>
      <c r="E319" t="s">
        <v>300</v>
      </c>
      <c r="F319" t="s">
        <v>241</v>
      </c>
      <c r="G319" t="s">
        <v>155</v>
      </c>
    </row>
    <row r="320" spans="1:7" x14ac:dyDescent="0.25">
      <c r="A320" t="s">
        <v>186</v>
      </c>
      <c r="B320" t="s">
        <v>68</v>
      </c>
      <c r="C320" t="s">
        <v>168</v>
      </c>
      <c r="D320">
        <v>50</v>
      </c>
      <c r="E320" t="s">
        <v>291</v>
      </c>
      <c r="F320" t="s">
        <v>154</v>
      </c>
      <c r="G320" t="s">
        <v>155</v>
      </c>
    </row>
    <row r="321" spans="1:7" x14ac:dyDescent="0.25">
      <c r="A321" t="s">
        <v>301</v>
      </c>
      <c r="B321" t="s">
        <v>68</v>
      </c>
      <c r="C321" t="s">
        <v>280</v>
      </c>
      <c r="D321">
        <v>50</v>
      </c>
      <c r="E321" t="s">
        <v>6</v>
      </c>
      <c r="F321" t="s">
        <v>7</v>
      </c>
      <c r="G321" t="s">
        <v>8</v>
      </c>
    </row>
    <row r="322" spans="1:7" x14ac:dyDescent="0.25">
      <c r="A322" t="s">
        <v>302</v>
      </c>
      <c r="B322" t="s">
        <v>68</v>
      </c>
      <c r="C322" t="s">
        <v>280</v>
      </c>
      <c r="D322">
        <v>46</v>
      </c>
      <c r="E322" t="s">
        <v>6</v>
      </c>
      <c r="F322" t="s">
        <v>7</v>
      </c>
      <c r="G322" t="s">
        <v>8</v>
      </c>
    </row>
    <row r="323" spans="1:7" x14ac:dyDescent="0.25">
      <c r="A323" t="s">
        <v>303</v>
      </c>
      <c r="B323" t="s">
        <v>68</v>
      </c>
      <c r="C323" t="s">
        <v>216</v>
      </c>
      <c r="D323">
        <v>42</v>
      </c>
      <c r="E323" t="s">
        <v>6</v>
      </c>
      <c r="F323" t="s">
        <v>7</v>
      </c>
      <c r="G323" t="s">
        <v>8</v>
      </c>
    </row>
    <row r="324" spans="1:7" x14ac:dyDescent="0.25">
      <c r="A324" t="s">
        <v>304</v>
      </c>
      <c r="B324" t="s">
        <v>68</v>
      </c>
      <c r="C324" t="s">
        <v>280</v>
      </c>
      <c r="D324">
        <v>42</v>
      </c>
      <c r="E324" t="s">
        <v>6</v>
      </c>
      <c r="F324" t="s">
        <v>7</v>
      </c>
      <c r="G324" t="s">
        <v>8</v>
      </c>
    </row>
    <row r="325" spans="1:7" x14ac:dyDescent="0.25">
      <c r="A325" t="s">
        <v>218</v>
      </c>
      <c r="B325" t="s">
        <v>75</v>
      </c>
      <c r="C325" t="s">
        <v>219</v>
      </c>
      <c r="D325">
        <v>38</v>
      </c>
      <c r="E325" t="s">
        <v>240</v>
      </c>
      <c r="F325" t="s">
        <v>241</v>
      </c>
      <c r="G325" t="s">
        <v>155</v>
      </c>
    </row>
    <row r="326" spans="1:7" x14ac:dyDescent="0.25">
      <c r="A326" t="s">
        <v>250</v>
      </c>
      <c r="B326" t="s">
        <v>68</v>
      </c>
      <c r="C326" t="s">
        <v>216</v>
      </c>
      <c r="D326">
        <v>37</v>
      </c>
      <c r="E326" t="s">
        <v>268</v>
      </c>
      <c r="F326" t="s">
        <v>154</v>
      </c>
      <c r="G326" t="s">
        <v>155</v>
      </c>
    </row>
    <row r="327" spans="1:7" x14ac:dyDescent="0.25">
      <c r="A327" t="s">
        <v>74</v>
      </c>
      <c r="B327" t="s">
        <v>75</v>
      </c>
      <c r="C327" t="s">
        <v>76</v>
      </c>
      <c r="D327">
        <v>24</v>
      </c>
      <c r="E327" t="s">
        <v>293</v>
      </c>
      <c r="F327" t="s">
        <v>241</v>
      </c>
      <c r="G327" t="s">
        <v>155</v>
      </c>
    </row>
    <row r="328" spans="1:7" x14ac:dyDescent="0.25">
      <c r="A328" t="s">
        <v>184</v>
      </c>
      <c r="B328" t="s">
        <v>48</v>
      </c>
      <c r="C328" t="s">
        <v>185</v>
      </c>
      <c r="D328">
        <v>15</v>
      </c>
      <c r="E328" t="s">
        <v>240</v>
      </c>
      <c r="F328" t="s">
        <v>241</v>
      </c>
      <c r="G328" t="s">
        <v>155</v>
      </c>
    </row>
    <row r="329" spans="1:7" x14ac:dyDescent="0.25">
      <c r="A329" t="s">
        <v>128</v>
      </c>
      <c r="B329" t="s">
        <v>48</v>
      </c>
      <c r="C329" t="s">
        <v>129</v>
      </c>
      <c r="D329">
        <v>10</v>
      </c>
      <c r="E329" t="s">
        <v>240</v>
      </c>
      <c r="F329" t="s">
        <v>241</v>
      </c>
      <c r="G329" t="s">
        <v>155</v>
      </c>
    </row>
    <row r="330" spans="1:7" x14ac:dyDescent="0.25">
      <c r="A330" t="s">
        <v>305</v>
      </c>
      <c r="B330" t="s">
        <v>68</v>
      </c>
      <c r="C330" t="s">
        <v>280</v>
      </c>
      <c r="D330">
        <v>7</v>
      </c>
      <c r="E330" t="s">
        <v>6</v>
      </c>
      <c r="F330" t="s">
        <v>7</v>
      </c>
      <c r="G330" t="s">
        <v>8</v>
      </c>
    </row>
    <row r="331" spans="1:7" x14ac:dyDescent="0.25">
      <c r="A331" t="s">
        <v>306</v>
      </c>
      <c r="B331" t="s">
        <v>68</v>
      </c>
      <c r="C331" t="s">
        <v>280</v>
      </c>
      <c r="D331">
        <v>5</v>
      </c>
      <c r="E331" t="s">
        <v>6</v>
      </c>
      <c r="F331" t="s">
        <v>7</v>
      </c>
      <c r="G331" t="s">
        <v>8</v>
      </c>
    </row>
    <row r="332" spans="1:7" x14ac:dyDescent="0.25">
      <c r="A332" t="s">
        <v>208</v>
      </c>
      <c r="B332" t="s">
        <v>48</v>
      </c>
      <c r="C332" t="s">
        <v>84</v>
      </c>
      <c r="D332">
        <v>5</v>
      </c>
      <c r="E332" t="s">
        <v>307</v>
      </c>
      <c r="F332" t="s">
        <v>154</v>
      </c>
      <c r="G332" t="s">
        <v>155</v>
      </c>
    </row>
    <row r="333" spans="1:7" x14ac:dyDescent="0.25">
      <c r="A333" t="s">
        <v>308</v>
      </c>
      <c r="B333" t="s">
        <v>68</v>
      </c>
      <c r="C333" t="s">
        <v>280</v>
      </c>
      <c r="D333">
        <v>3</v>
      </c>
      <c r="E333" t="s">
        <v>6</v>
      </c>
      <c r="F333" t="s">
        <v>7</v>
      </c>
      <c r="G333" t="s">
        <v>8</v>
      </c>
    </row>
    <row r="334" spans="1:7" x14ac:dyDescent="0.25">
      <c r="A334" t="s">
        <v>309</v>
      </c>
      <c r="B334" t="s">
        <v>68</v>
      </c>
      <c r="C334" t="s">
        <v>280</v>
      </c>
      <c r="D334">
        <v>1</v>
      </c>
      <c r="E334" t="s">
        <v>6</v>
      </c>
      <c r="F334" t="s">
        <v>7</v>
      </c>
      <c r="G334" t="s">
        <v>8</v>
      </c>
    </row>
    <row r="335" spans="1:7" x14ac:dyDescent="0.25">
      <c r="A335" t="s">
        <v>162</v>
      </c>
      <c r="B335" t="s">
        <v>75</v>
      </c>
      <c r="C335" t="s">
        <v>113</v>
      </c>
      <c r="D335">
        <v>-50</v>
      </c>
      <c r="E335" t="s">
        <v>310</v>
      </c>
      <c r="F335" t="s">
        <v>241</v>
      </c>
      <c r="G335" t="s">
        <v>311</v>
      </c>
    </row>
    <row r="336" spans="1:7" x14ac:dyDescent="0.25">
      <c r="A336" t="s">
        <v>297</v>
      </c>
      <c r="B336" t="s">
        <v>68</v>
      </c>
      <c r="C336" t="s">
        <v>280</v>
      </c>
      <c r="D336">
        <v>-114</v>
      </c>
      <c r="E336" t="s">
        <v>312</v>
      </c>
      <c r="F336" t="s">
        <v>154</v>
      </c>
      <c r="G336" t="s">
        <v>311</v>
      </c>
    </row>
    <row r="337" spans="1:7" x14ac:dyDescent="0.25">
      <c r="A337" t="s">
        <v>313</v>
      </c>
      <c r="B337" t="s">
        <v>75</v>
      </c>
      <c r="C337" t="s">
        <v>314</v>
      </c>
      <c r="D337">
        <v>-153</v>
      </c>
      <c r="E337" t="s">
        <v>315</v>
      </c>
      <c r="F337" t="s">
        <v>241</v>
      </c>
      <c r="G337" t="s">
        <v>311</v>
      </c>
    </row>
    <row r="338" spans="1:7" x14ac:dyDescent="0.25">
      <c r="A338" t="s">
        <v>10</v>
      </c>
      <c r="B338" t="s">
        <v>4</v>
      </c>
      <c r="C338" t="s">
        <v>5</v>
      </c>
      <c r="D338">
        <v>-275</v>
      </c>
      <c r="E338" t="s">
        <v>316</v>
      </c>
      <c r="F338" t="s">
        <v>154</v>
      </c>
      <c r="G338" t="s">
        <v>311</v>
      </c>
    </row>
    <row r="339" spans="1:7" x14ac:dyDescent="0.25">
      <c r="A339" t="s">
        <v>279</v>
      </c>
      <c r="B339" t="s">
        <v>68</v>
      </c>
      <c r="C339" t="s">
        <v>280</v>
      </c>
      <c r="D339">
        <v>-342</v>
      </c>
      <c r="E339" t="s">
        <v>312</v>
      </c>
      <c r="F339" t="s">
        <v>154</v>
      </c>
      <c r="G339" t="s">
        <v>311</v>
      </c>
    </row>
    <row r="340" spans="1:7" x14ac:dyDescent="0.25">
      <c r="A340" t="s">
        <v>286</v>
      </c>
      <c r="B340" t="s">
        <v>68</v>
      </c>
      <c r="C340" t="s">
        <v>280</v>
      </c>
      <c r="D340">
        <v>-342</v>
      </c>
      <c r="E340" t="s">
        <v>312</v>
      </c>
      <c r="F340" t="s">
        <v>154</v>
      </c>
      <c r="G340" t="s">
        <v>311</v>
      </c>
    </row>
    <row r="341" spans="1:7" x14ac:dyDescent="0.25">
      <c r="A341" t="s">
        <v>317</v>
      </c>
      <c r="B341" t="s">
        <v>75</v>
      </c>
      <c r="C341" t="s">
        <v>203</v>
      </c>
      <c r="D341">
        <v>-428</v>
      </c>
      <c r="E341" t="s">
        <v>318</v>
      </c>
      <c r="F341" t="s">
        <v>154</v>
      </c>
      <c r="G341" t="s">
        <v>311</v>
      </c>
    </row>
    <row r="342" spans="1:7" x14ac:dyDescent="0.25">
      <c r="A342" t="s">
        <v>319</v>
      </c>
      <c r="B342" t="s">
        <v>75</v>
      </c>
      <c r="C342" t="s">
        <v>203</v>
      </c>
      <c r="D342">
        <v>-432</v>
      </c>
      <c r="E342" t="s">
        <v>320</v>
      </c>
      <c r="F342" t="s">
        <v>241</v>
      </c>
      <c r="G342" t="s">
        <v>311</v>
      </c>
    </row>
    <row r="343" spans="1:7" x14ac:dyDescent="0.25">
      <c r="A343" t="s">
        <v>200</v>
      </c>
      <c r="B343" t="s">
        <v>4</v>
      </c>
      <c r="C343" t="s">
        <v>25</v>
      </c>
      <c r="D343">
        <v>-434</v>
      </c>
      <c r="E343" t="s">
        <v>321</v>
      </c>
      <c r="F343" t="s">
        <v>154</v>
      </c>
      <c r="G343" t="s">
        <v>311</v>
      </c>
    </row>
    <row r="344" spans="1:7" x14ac:dyDescent="0.25">
      <c r="A344" t="s">
        <v>322</v>
      </c>
      <c r="B344" t="s">
        <v>4</v>
      </c>
      <c r="C344" t="s">
        <v>15</v>
      </c>
      <c r="D344">
        <v>-458</v>
      </c>
      <c r="E344" t="s">
        <v>321</v>
      </c>
      <c r="F344" t="s">
        <v>154</v>
      </c>
      <c r="G344" t="s">
        <v>311</v>
      </c>
    </row>
    <row r="345" spans="1:7" x14ac:dyDescent="0.25">
      <c r="A345" t="s">
        <v>295</v>
      </c>
      <c r="B345" t="s">
        <v>68</v>
      </c>
      <c r="C345" t="s">
        <v>280</v>
      </c>
      <c r="D345">
        <v>-487</v>
      </c>
      <c r="E345" t="s">
        <v>323</v>
      </c>
      <c r="F345" t="s">
        <v>154</v>
      </c>
      <c r="G345" t="s">
        <v>311</v>
      </c>
    </row>
    <row r="346" spans="1:7" x14ac:dyDescent="0.25">
      <c r="A346" t="s">
        <v>324</v>
      </c>
      <c r="B346" t="s">
        <v>4</v>
      </c>
      <c r="C346" t="s">
        <v>15</v>
      </c>
      <c r="D346">
        <v>-500</v>
      </c>
      <c r="E346" t="s">
        <v>321</v>
      </c>
      <c r="F346" t="s">
        <v>154</v>
      </c>
      <c r="G346" t="s">
        <v>311</v>
      </c>
    </row>
    <row r="347" spans="1:7" x14ac:dyDescent="0.25">
      <c r="A347" t="s">
        <v>325</v>
      </c>
      <c r="B347" t="s">
        <v>75</v>
      </c>
      <c r="C347" t="s">
        <v>203</v>
      </c>
      <c r="D347">
        <v>-540</v>
      </c>
      <c r="E347" t="s">
        <v>326</v>
      </c>
      <c r="F347" t="s">
        <v>241</v>
      </c>
      <c r="G347" t="s">
        <v>311</v>
      </c>
    </row>
    <row r="348" spans="1:7" x14ac:dyDescent="0.25">
      <c r="A348" t="s">
        <v>327</v>
      </c>
      <c r="B348" t="s">
        <v>75</v>
      </c>
      <c r="C348" t="s">
        <v>203</v>
      </c>
      <c r="D348">
        <v>-594</v>
      </c>
      <c r="E348" t="s">
        <v>318</v>
      </c>
      <c r="F348" t="s">
        <v>154</v>
      </c>
      <c r="G348" t="s">
        <v>311</v>
      </c>
    </row>
    <row r="349" spans="1:7" x14ac:dyDescent="0.25">
      <c r="A349" t="s">
        <v>328</v>
      </c>
      <c r="B349" t="s">
        <v>68</v>
      </c>
      <c r="C349" t="s">
        <v>168</v>
      </c>
      <c r="D349">
        <v>-697</v>
      </c>
      <c r="E349" t="s">
        <v>329</v>
      </c>
      <c r="F349" t="s">
        <v>154</v>
      </c>
      <c r="G349" t="s">
        <v>311</v>
      </c>
    </row>
    <row r="350" spans="1:7" x14ac:dyDescent="0.25">
      <c r="A350" t="s">
        <v>81</v>
      </c>
      <c r="B350" t="s">
        <v>4</v>
      </c>
      <c r="C350" t="s">
        <v>25</v>
      </c>
      <c r="D350">
        <v>-711</v>
      </c>
      <c r="E350" t="s">
        <v>321</v>
      </c>
      <c r="F350" t="s">
        <v>154</v>
      </c>
      <c r="G350" t="s">
        <v>311</v>
      </c>
    </row>
    <row r="351" spans="1:7" x14ac:dyDescent="0.25">
      <c r="A351" t="s">
        <v>284</v>
      </c>
      <c r="B351" t="s">
        <v>68</v>
      </c>
      <c r="C351" t="s">
        <v>280</v>
      </c>
      <c r="D351">
        <v>-716</v>
      </c>
      <c r="E351" t="s">
        <v>312</v>
      </c>
      <c r="F351" t="s">
        <v>154</v>
      </c>
      <c r="G351" t="s">
        <v>311</v>
      </c>
    </row>
    <row r="352" spans="1:7" x14ac:dyDescent="0.25">
      <c r="A352" t="s">
        <v>328</v>
      </c>
      <c r="B352" t="s">
        <v>68</v>
      </c>
      <c r="C352" t="s">
        <v>168</v>
      </c>
      <c r="D352">
        <v>-752</v>
      </c>
      <c r="E352" t="s">
        <v>330</v>
      </c>
      <c r="F352" t="s">
        <v>154</v>
      </c>
      <c r="G352" t="s">
        <v>311</v>
      </c>
    </row>
    <row r="353" spans="1:7" x14ac:dyDescent="0.25">
      <c r="A353" t="s">
        <v>331</v>
      </c>
      <c r="B353" t="s">
        <v>68</v>
      </c>
      <c r="C353" t="s">
        <v>168</v>
      </c>
      <c r="D353">
        <v>-761</v>
      </c>
      <c r="E353" t="s">
        <v>332</v>
      </c>
      <c r="F353" t="s">
        <v>154</v>
      </c>
      <c r="G353" t="s">
        <v>311</v>
      </c>
    </row>
    <row r="354" spans="1:7" x14ac:dyDescent="0.25">
      <c r="A354" t="s">
        <v>13</v>
      </c>
      <c r="B354" t="s">
        <v>4</v>
      </c>
      <c r="C354" t="s">
        <v>5</v>
      </c>
      <c r="D354">
        <v>-908</v>
      </c>
      <c r="E354" t="s">
        <v>333</v>
      </c>
      <c r="F354" t="s">
        <v>154</v>
      </c>
      <c r="G354" t="s">
        <v>311</v>
      </c>
    </row>
    <row r="355" spans="1:7" x14ac:dyDescent="0.25">
      <c r="A355" t="s">
        <v>239</v>
      </c>
      <c r="B355" t="s">
        <v>4</v>
      </c>
      <c r="C355" t="s">
        <v>15</v>
      </c>
      <c r="D355">
        <v>-914</v>
      </c>
      <c r="E355" t="s">
        <v>334</v>
      </c>
      <c r="F355" t="s">
        <v>154</v>
      </c>
      <c r="G355" t="s">
        <v>311</v>
      </c>
    </row>
    <row r="356" spans="1:7" x14ac:dyDescent="0.25">
      <c r="A356" t="s">
        <v>335</v>
      </c>
      <c r="B356" t="s">
        <v>4</v>
      </c>
      <c r="C356" t="s">
        <v>15</v>
      </c>
      <c r="D356">
        <v>-1188</v>
      </c>
      <c r="E356" t="s">
        <v>6</v>
      </c>
      <c r="F356" t="s">
        <v>7</v>
      </c>
      <c r="G356" t="s">
        <v>8</v>
      </c>
    </row>
    <row r="357" spans="1:7" x14ac:dyDescent="0.25">
      <c r="A357" t="s">
        <v>12</v>
      </c>
      <c r="B357" t="s">
        <v>4</v>
      </c>
      <c r="C357" t="s">
        <v>5</v>
      </c>
      <c r="D357">
        <v>-1266</v>
      </c>
      <c r="E357" t="s">
        <v>336</v>
      </c>
      <c r="F357" t="s">
        <v>154</v>
      </c>
      <c r="G357" t="s">
        <v>311</v>
      </c>
    </row>
    <row r="358" spans="1:7" x14ac:dyDescent="0.25">
      <c r="A358" t="s">
        <v>13</v>
      </c>
      <c r="B358" t="s">
        <v>4</v>
      </c>
      <c r="C358" t="s">
        <v>5</v>
      </c>
      <c r="D358">
        <v>-1337</v>
      </c>
      <c r="E358" t="s">
        <v>337</v>
      </c>
      <c r="F358" t="s">
        <v>154</v>
      </c>
      <c r="G358" t="s">
        <v>311</v>
      </c>
    </row>
    <row r="359" spans="1:7" x14ac:dyDescent="0.25">
      <c r="A359" t="s">
        <v>195</v>
      </c>
      <c r="B359" t="s">
        <v>4</v>
      </c>
      <c r="C359" t="s">
        <v>25</v>
      </c>
      <c r="D359">
        <v>-1343</v>
      </c>
      <c r="E359" t="s">
        <v>321</v>
      </c>
      <c r="F359" t="s">
        <v>154</v>
      </c>
      <c r="G359" t="s">
        <v>311</v>
      </c>
    </row>
    <row r="360" spans="1:7" x14ac:dyDescent="0.25">
      <c r="A360" t="s">
        <v>179</v>
      </c>
      <c r="B360" t="s">
        <v>4</v>
      </c>
      <c r="C360" t="s">
        <v>25</v>
      </c>
      <c r="D360">
        <v>-1382</v>
      </c>
      <c r="E360" t="s">
        <v>321</v>
      </c>
      <c r="F360" t="s">
        <v>154</v>
      </c>
      <c r="G360" t="s">
        <v>311</v>
      </c>
    </row>
    <row r="361" spans="1:7" x14ac:dyDescent="0.25">
      <c r="A361" t="s">
        <v>286</v>
      </c>
      <c r="B361" t="s">
        <v>68</v>
      </c>
      <c r="C361" t="s">
        <v>280</v>
      </c>
      <c r="D361">
        <v>-1390</v>
      </c>
      <c r="E361" t="s">
        <v>323</v>
      </c>
      <c r="F361" t="s">
        <v>154</v>
      </c>
      <c r="G361" t="s">
        <v>311</v>
      </c>
    </row>
    <row r="362" spans="1:7" x14ac:dyDescent="0.25">
      <c r="A362" t="s">
        <v>338</v>
      </c>
      <c r="B362" t="s">
        <v>4</v>
      </c>
      <c r="C362" t="s">
        <v>15</v>
      </c>
      <c r="D362">
        <v>-1400</v>
      </c>
      <c r="E362" t="s">
        <v>339</v>
      </c>
      <c r="F362" t="s">
        <v>154</v>
      </c>
      <c r="G362" t="s">
        <v>311</v>
      </c>
    </row>
    <row r="363" spans="1:7" x14ac:dyDescent="0.25">
      <c r="A363" t="s">
        <v>33</v>
      </c>
      <c r="B363" t="s">
        <v>4</v>
      </c>
      <c r="C363" t="s">
        <v>15</v>
      </c>
      <c r="D363">
        <v>-1430</v>
      </c>
      <c r="E363" t="s">
        <v>321</v>
      </c>
      <c r="F363" t="s">
        <v>154</v>
      </c>
      <c r="G363" t="s">
        <v>311</v>
      </c>
    </row>
    <row r="364" spans="1:7" x14ac:dyDescent="0.25">
      <c r="A364" t="s">
        <v>340</v>
      </c>
      <c r="B364" t="s">
        <v>75</v>
      </c>
      <c r="C364" t="s">
        <v>203</v>
      </c>
      <c r="D364">
        <v>-1492</v>
      </c>
      <c r="E364" t="s">
        <v>341</v>
      </c>
      <c r="F364" t="s">
        <v>154</v>
      </c>
      <c r="G364" t="s">
        <v>311</v>
      </c>
    </row>
    <row r="365" spans="1:7" x14ac:dyDescent="0.25">
      <c r="A365" t="s">
        <v>342</v>
      </c>
      <c r="B365" t="s">
        <v>4</v>
      </c>
      <c r="C365" t="s">
        <v>15</v>
      </c>
      <c r="D365">
        <v>-1547</v>
      </c>
      <c r="E365" t="s">
        <v>6</v>
      </c>
      <c r="F365" t="s">
        <v>7</v>
      </c>
      <c r="G365" t="s">
        <v>8</v>
      </c>
    </row>
    <row r="366" spans="1:7" x14ac:dyDescent="0.25">
      <c r="A366" t="s">
        <v>343</v>
      </c>
      <c r="B366" t="s">
        <v>68</v>
      </c>
      <c r="C366" t="s">
        <v>168</v>
      </c>
      <c r="D366">
        <v>-1552</v>
      </c>
      <c r="E366" t="s">
        <v>6</v>
      </c>
      <c r="F366" t="s">
        <v>7</v>
      </c>
      <c r="G366" t="s">
        <v>8</v>
      </c>
    </row>
    <row r="367" spans="1:7" x14ac:dyDescent="0.25">
      <c r="A367" t="s">
        <v>313</v>
      </c>
      <c r="B367" t="s">
        <v>75</v>
      </c>
      <c r="C367" t="s">
        <v>314</v>
      </c>
      <c r="D367">
        <v>-1597</v>
      </c>
      <c r="E367" t="s">
        <v>344</v>
      </c>
      <c r="F367" t="s">
        <v>154</v>
      </c>
      <c r="G367" t="s">
        <v>311</v>
      </c>
    </row>
    <row r="368" spans="1:7" x14ac:dyDescent="0.25">
      <c r="A368" t="s">
        <v>345</v>
      </c>
      <c r="B368" t="s">
        <v>4</v>
      </c>
      <c r="C368" t="s">
        <v>15</v>
      </c>
      <c r="D368">
        <v>-1629</v>
      </c>
      <c r="E368" t="s">
        <v>346</v>
      </c>
      <c r="F368" t="s">
        <v>154</v>
      </c>
      <c r="G368" t="s">
        <v>311</v>
      </c>
    </row>
    <row r="369" spans="1:7" x14ac:dyDescent="0.25">
      <c r="A369" t="s">
        <v>313</v>
      </c>
      <c r="B369" t="s">
        <v>75</v>
      </c>
      <c r="C369" t="s">
        <v>314</v>
      </c>
      <c r="D369">
        <v>-1641</v>
      </c>
      <c r="E369" t="s">
        <v>347</v>
      </c>
      <c r="F369" t="s">
        <v>154</v>
      </c>
      <c r="G369" t="s">
        <v>311</v>
      </c>
    </row>
    <row r="370" spans="1:7" x14ac:dyDescent="0.25">
      <c r="A370" t="s">
        <v>62</v>
      </c>
      <c r="B370" t="s">
        <v>4</v>
      </c>
      <c r="C370" t="s">
        <v>15</v>
      </c>
      <c r="D370">
        <v>-1652</v>
      </c>
      <c r="E370" t="s">
        <v>334</v>
      </c>
      <c r="F370" t="s">
        <v>154</v>
      </c>
      <c r="G370" t="s">
        <v>311</v>
      </c>
    </row>
    <row r="371" spans="1:7" x14ac:dyDescent="0.25">
      <c r="A371" t="s">
        <v>279</v>
      </c>
      <c r="B371" t="s">
        <v>68</v>
      </c>
      <c r="C371" t="s">
        <v>280</v>
      </c>
      <c r="D371">
        <v>-1776</v>
      </c>
      <c r="E371" t="s">
        <v>323</v>
      </c>
      <c r="F371" t="s">
        <v>154</v>
      </c>
      <c r="G371" t="s">
        <v>311</v>
      </c>
    </row>
    <row r="372" spans="1:7" x14ac:dyDescent="0.25">
      <c r="A372" t="s">
        <v>281</v>
      </c>
      <c r="B372" t="s">
        <v>68</v>
      </c>
      <c r="C372" t="s">
        <v>280</v>
      </c>
      <c r="D372">
        <v>-1961</v>
      </c>
      <c r="E372" t="s">
        <v>312</v>
      </c>
      <c r="F372" t="s">
        <v>154</v>
      </c>
      <c r="G372" t="s">
        <v>311</v>
      </c>
    </row>
    <row r="373" spans="1:7" x14ac:dyDescent="0.25">
      <c r="A373" t="s">
        <v>117</v>
      </c>
      <c r="B373" t="s">
        <v>4</v>
      </c>
      <c r="C373" t="s">
        <v>25</v>
      </c>
      <c r="D373">
        <v>-2262</v>
      </c>
      <c r="E373" t="s">
        <v>321</v>
      </c>
      <c r="F373" t="s">
        <v>154</v>
      </c>
      <c r="G373" t="s">
        <v>311</v>
      </c>
    </row>
    <row r="374" spans="1:7" x14ac:dyDescent="0.25">
      <c r="A374" t="s">
        <v>317</v>
      </c>
      <c r="B374" t="s">
        <v>75</v>
      </c>
      <c r="C374" t="s">
        <v>203</v>
      </c>
      <c r="D374">
        <v>-2286</v>
      </c>
      <c r="E374" t="s">
        <v>348</v>
      </c>
      <c r="F374" t="s">
        <v>154</v>
      </c>
      <c r="G374" t="s">
        <v>311</v>
      </c>
    </row>
    <row r="375" spans="1:7" x14ac:dyDescent="0.25">
      <c r="A375" t="s">
        <v>200</v>
      </c>
      <c r="B375" t="s">
        <v>4</v>
      </c>
      <c r="C375" t="s">
        <v>25</v>
      </c>
      <c r="D375">
        <v>-2428</v>
      </c>
      <c r="E375" t="s">
        <v>346</v>
      </c>
      <c r="F375" t="s">
        <v>154</v>
      </c>
      <c r="G375" t="s">
        <v>311</v>
      </c>
    </row>
    <row r="376" spans="1:7" x14ac:dyDescent="0.25">
      <c r="A376" t="s">
        <v>349</v>
      </c>
      <c r="B376" t="s">
        <v>4</v>
      </c>
      <c r="C376" t="s">
        <v>15</v>
      </c>
      <c r="D376">
        <v>-2492</v>
      </c>
      <c r="E376" t="s">
        <v>6</v>
      </c>
      <c r="F376" t="s">
        <v>7</v>
      </c>
      <c r="G376" t="s">
        <v>8</v>
      </c>
    </row>
    <row r="377" spans="1:7" x14ac:dyDescent="0.25">
      <c r="A377" t="s">
        <v>9</v>
      </c>
      <c r="B377" t="s">
        <v>4</v>
      </c>
      <c r="C377" t="s">
        <v>5</v>
      </c>
      <c r="D377">
        <v>-2537</v>
      </c>
      <c r="E377" t="s">
        <v>333</v>
      </c>
      <c r="F377" t="s">
        <v>154</v>
      </c>
      <c r="G377" t="s">
        <v>311</v>
      </c>
    </row>
    <row r="378" spans="1:7" x14ac:dyDescent="0.25">
      <c r="A378" t="s">
        <v>350</v>
      </c>
      <c r="B378" t="s">
        <v>4</v>
      </c>
      <c r="C378" t="s">
        <v>15</v>
      </c>
      <c r="D378">
        <v>-2561</v>
      </c>
      <c r="E378" t="s">
        <v>346</v>
      </c>
      <c r="F378" t="s">
        <v>154</v>
      </c>
      <c r="G378" t="s">
        <v>311</v>
      </c>
    </row>
    <row r="379" spans="1:7" x14ac:dyDescent="0.25">
      <c r="A379" t="s">
        <v>58</v>
      </c>
      <c r="B379" t="s">
        <v>4</v>
      </c>
      <c r="C379" t="s">
        <v>15</v>
      </c>
      <c r="D379">
        <v>-2607</v>
      </c>
      <c r="E379" t="s">
        <v>334</v>
      </c>
      <c r="F379" t="s">
        <v>154</v>
      </c>
      <c r="G379" t="s">
        <v>311</v>
      </c>
    </row>
    <row r="380" spans="1:7" x14ac:dyDescent="0.25">
      <c r="A380" t="s">
        <v>38</v>
      </c>
      <c r="B380" t="s">
        <v>4</v>
      </c>
      <c r="C380" t="s">
        <v>15</v>
      </c>
      <c r="D380">
        <v>-2776</v>
      </c>
      <c r="E380" t="s">
        <v>334</v>
      </c>
      <c r="F380" t="s">
        <v>154</v>
      </c>
      <c r="G380" t="s">
        <v>311</v>
      </c>
    </row>
    <row r="381" spans="1:7" x14ac:dyDescent="0.25">
      <c r="A381" t="s">
        <v>38</v>
      </c>
      <c r="B381" t="s">
        <v>4</v>
      </c>
      <c r="C381" t="s">
        <v>15</v>
      </c>
      <c r="D381">
        <v>-2906</v>
      </c>
      <c r="E381" t="s">
        <v>351</v>
      </c>
      <c r="F381" t="s">
        <v>154</v>
      </c>
      <c r="G381" t="s">
        <v>311</v>
      </c>
    </row>
    <row r="382" spans="1:7" x14ac:dyDescent="0.25">
      <c r="A382" t="s">
        <v>313</v>
      </c>
      <c r="B382" t="s">
        <v>75</v>
      </c>
      <c r="C382" t="s">
        <v>314</v>
      </c>
      <c r="D382">
        <v>-2910</v>
      </c>
      <c r="E382" t="s">
        <v>6</v>
      </c>
      <c r="F382" t="s">
        <v>7</v>
      </c>
      <c r="G382" t="s">
        <v>8</v>
      </c>
    </row>
    <row r="383" spans="1:7" x14ac:dyDescent="0.25">
      <c r="A383" t="s">
        <v>29</v>
      </c>
      <c r="B383" t="s">
        <v>4</v>
      </c>
      <c r="C383" t="s">
        <v>25</v>
      </c>
      <c r="D383">
        <v>-2917</v>
      </c>
      <c r="E383" t="s">
        <v>321</v>
      </c>
      <c r="F383" t="s">
        <v>154</v>
      </c>
      <c r="G383" t="s">
        <v>311</v>
      </c>
    </row>
    <row r="384" spans="1:7" x14ac:dyDescent="0.25">
      <c r="A384" t="s">
        <v>352</v>
      </c>
      <c r="B384" t="s">
        <v>4</v>
      </c>
      <c r="C384" t="s">
        <v>15</v>
      </c>
      <c r="D384">
        <v>-3046</v>
      </c>
      <c r="E384" t="s">
        <v>353</v>
      </c>
      <c r="F384" t="s">
        <v>154</v>
      </c>
      <c r="G384" t="s">
        <v>311</v>
      </c>
    </row>
    <row r="385" spans="1:7" x14ac:dyDescent="0.25">
      <c r="A385" t="s">
        <v>41</v>
      </c>
      <c r="B385" t="s">
        <v>4</v>
      </c>
      <c r="C385" t="s">
        <v>15</v>
      </c>
      <c r="D385">
        <v>-3120</v>
      </c>
      <c r="E385" t="s">
        <v>321</v>
      </c>
      <c r="F385" t="s">
        <v>154</v>
      </c>
      <c r="G385" t="s">
        <v>311</v>
      </c>
    </row>
    <row r="386" spans="1:7" x14ac:dyDescent="0.25">
      <c r="A386" t="s">
        <v>354</v>
      </c>
      <c r="B386" t="s">
        <v>4</v>
      </c>
      <c r="C386" t="s">
        <v>15</v>
      </c>
      <c r="D386">
        <v>-3430</v>
      </c>
      <c r="E386" t="s">
        <v>6</v>
      </c>
      <c r="F386" t="s">
        <v>7</v>
      </c>
      <c r="G386" t="s">
        <v>8</v>
      </c>
    </row>
    <row r="387" spans="1:7" x14ac:dyDescent="0.25">
      <c r="A387" t="s">
        <v>355</v>
      </c>
      <c r="B387" t="s">
        <v>4</v>
      </c>
      <c r="C387" t="s">
        <v>15</v>
      </c>
      <c r="D387">
        <v>-3470</v>
      </c>
      <c r="E387" t="s">
        <v>6</v>
      </c>
      <c r="F387" t="s">
        <v>7</v>
      </c>
      <c r="G387" t="s">
        <v>8</v>
      </c>
    </row>
    <row r="388" spans="1:7" x14ac:dyDescent="0.25">
      <c r="A388" t="s">
        <v>356</v>
      </c>
      <c r="B388" t="s">
        <v>75</v>
      </c>
      <c r="C388" t="s">
        <v>203</v>
      </c>
      <c r="D388">
        <v>-3501</v>
      </c>
      <c r="E388" t="s">
        <v>318</v>
      </c>
      <c r="F388" t="s">
        <v>154</v>
      </c>
      <c r="G388" t="s">
        <v>311</v>
      </c>
    </row>
    <row r="389" spans="1:7" x14ac:dyDescent="0.25">
      <c r="A389" t="s">
        <v>357</v>
      </c>
      <c r="B389" t="s">
        <v>68</v>
      </c>
      <c r="C389" t="s">
        <v>168</v>
      </c>
      <c r="D389">
        <v>-3536</v>
      </c>
      <c r="E389" t="s">
        <v>6</v>
      </c>
      <c r="F389" t="s">
        <v>7</v>
      </c>
      <c r="G389" t="s">
        <v>8</v>
      </c>
    </row>
    <row r="390" spans="1:7" x14ac:dyDescent="0.25">
      <c r="A390" t="s">
        <v>327</v>
      </c>
      <c r="B390" t="s">
        <v>75</v>
      </c>
      <c r="C390" t="s">
        <v>203</v>
      </c>
      <c r="D390">
        <v>-3573</v>
      </c>
      <c r="E390" t="s">
        <v>358</v>
      </c>
      <c r="F390" t="s">
        <v>154</v>
      </c>
      <c r="G390" t="s">
        <v>311</v>
      </c>
    </row>
    <row r="391" spans="1:7" x14ac:dyDescent="0.25">
      <c r="A391" t="s">
        <v>41</v>
      </c>
      <c r="B391" t="s">
        <v>4</v>
      </c>
      <c r="C391" t="s">
        <v>15</v>
      </c>
      <c r="D391">
        <v>-3632</v>
      </c>
      <c r="E391" t="s">
        <v>346</v>
      </c>
      <c r="F391" t="s">
        <v>154</v>
      </c>
      <c r="G391" t="s">
        <v>311</v>
      </c>
    </row>
    <row r="392" spans="1:7" x14ac:dyDescent="0.25">
      <c r="A392" t="s">
        <v>359</v>
      </c>
      <c r="B392" t="s">
        <v>4</v>
      </c>
      <c r="C392" t="s">
        <v>15</v>
      </c>
      <c r="D392">
        <v>-3725</v>
      </c>
      <c r="E392" t="s">
        <v>346</v>
      </c>
      <c r="F392" t="s">
        <v>154</v>
      </c>
      <c r="G392" t="s">
        <v>311</v>
      </c>
    </row>
    <row r="393" spans="1:7" x14ac:dyDescent="0.25">
      <c r="A393" t="s">
        <v>114</v>
      </c>
      <c r="B393" t="s">
        <v>4</v>
      </c>
      <c r="C393" t="s">
        <v>25</v>
      </c>
      <c r="D393">
        <v>-3853</v>
      </c>
      <c r="E393" t="s">
        <v>346</v>
      </c>
      <c r="F393" t="s">
        <v>154</v>
      </c>
      <c r="G393" t="s">
        <v>311</v>
      </c>
    </row>
    <row r="394" spans="1:7" x14ac:dyDescent="0.25">
      <c r="A394" t="s">
        <v>360</v>
      </c>
      <c r="B394" t="s">
        <v>4</v>
      </c>
      <c r="C394" t="s">
        <v>15</v>
      </c>
      <c r="D394">
        <v>-4312</v>
      </c>
      <c r="E394" t="s">
        <v>361</v>
      </c>
      <c r="F394" t="s">
        <v>154</v>
      </c>
      <c r="G394" t="s">
        <v>311</v>
      </c>
    </row>
    <row r="395" spans="1:7" x14ac:dyDescent="0.25">
      <c r="A395" t="s">
        <v>3</v>
      </c>
      <c r="B395" t="s">
        <v>4</v>
      </c>
      <c r="C395" t="s">
        <v>5</v>
      </c>
      <c r="D395">
        <v>-4358</v>
      </c>
      <c r="E395" t="s">
        <v>362</v>
      </c>
      <c r="F395" t="s">
        <v>154</v>
      </c>
      <c r="G395" t="s">
        <v>311</v>
      </c>
    </row>
    <row r="396" spans="1:7" x14ac:dyDescent="0.25">
      <c r="A396" t="s">
        <v>359</v>
      </c>
      <c r="B396" t="s">
        <v>4</v>
      </c>
      <c r="C396" t="s">
        <v>15</v>
      </c>
      <c r="D396">
        <v>-4582</v>
      </c>
      <c r="E396" t="s">
        <v>321</v>
      </c>
      <c r="F396" t="s">
        <v>154</v>
      </c>
      <c r="G396" t="s">
        <v>311</v>
      </c>
    </row>
    <row r="397" spans="1:7" x14ac:dyDescent="0.25">
      <c r="A397" t="s">
        <v>345</v>
      </c>
      <c r="B397" t="s">
        <v>4</v>
      </c>
      <c r="C397" t="s">
        <v>15</v>
      </c>
      <c r="D397">
        <v>-4624</v>
      </c>
      <c r="E397" t="s">
        <v>321</v>
      </c>
      <c r="F397" t="s">
        <v>154</v>
      </c>
      <c r="G397" t="s">
        <v>311</v>
      </c>
    </row>
    <row r="398" spans="1:7" x14ac:dyDescent="0.25">
      <c r="A398" t="s">
        <v>363</v>
      </c>
      <c r="B398" t="s">
        <v>68</v>
      </c>
      <c r="C398" t="s">
        <v>168</v>
      </c>
      <c r="D398">
        <v>-4809</v>
      </c>
      <c r="E398" t="s">
        <v>6</v>
      </c>
      <c r="F398" t="s">
        <v>7</v>
      </c>
      <c r="G398" t="s">
        <v>8</v>
      </c>
    </row>
    <row r="399" spans="1:7" x14ac:dyDescent="0.25">
      <c r="A399" t="s">
        <v>364</v>
      </c>
      <c r="B399" t="s">
        <v>68</v>
      </c>
      <c r="C399" t="s">
        <v>168</v>
      </c>
      <c r="D399">
        <v>-4809</v>
      </c>
      <c r="E399" t="s">
        <v>6</v>
      </c>
      <c r="F399" t="s">
        <v>7</v>
      </c>
      <c r="G399" t="s">
        <v>8</v>
      </c>
    </row>
    <row r="400" spans="1:7" x14ac:dyDescent="0.25">
      <c r="A400" t="s">
        <v>356</v>
      </c>
      <c r="B400" t="s">
        <v>75</v>
      </c>
      <c r="C400" t="s">
        <v>203</v>
      </c>
      <c r="D400">
        <v>-4887</v>
      </c>
      <c r="E400" t="s">
        <v>348</v>
      </c>
      <c r="F400" t="s">
        <v>154</v>
      </c>
      <c r="G400" t="s">
        <v>311</v>
      </c>
    </row>
    <row r="401" spans="1:7" x14ac:dyDescent="0.25">
      <c r="A401" t="s">
        <v>365</v>
      </c>
      <c r="B401" t="s">
        <v>68</v>
      </c>
      <c r="C401" t="s">
        <v>168</v>
      </c>
      <c r="D401">
        <v>-5104</v>
      </c>
      <c r="E401" t="s">
        <v>6</v>
      </c>
      <c r="F401" t="s">
        <v>7</v>
      </c>
      <c r="G401" t="s">
        <v>8</v>
      </c>
    </row>
    <row r="402" spans="1:7" x14ac:dyDescent="0.25">
      <c r="A402" t="s">
        <v>350</v>
      </c>
      <c r="B402" t="s">
        <v>4</v>
      </c>
      <c r="C402" t="s">
        <v>15</v>
      </c>
      <c r="D402">
        <v>-5124</v>
      </c>
      <c r="E402" t="s">
        <v>321</v>
      </c>
      <c r="F402" t="s">
        <v>154</v>
      </c>
      <c r="G402" t="s">
        <v>311</v>
      </c>
    </row>
    <row r="403" spans="1:7" x14ac:dyDescent="0.25">
      <c r="A403" t="s">
        <v>366</v>
      </c>
      <c r="B403" t="s">
        <v>4</v>
      </c>
      <c r="C403" t="s">
        <v>15</v>
      </c>
      <c r="D403">
        <v>-5276</v>
      </c>
      <c r="E403" t="s">
        <v>346</v>
      </c>
      <c r="F403" t="s">
        <v>154</v>
      </c>
      <c r="G403" t="s">
        <v>311</v>
      </c>
    </row>
    <row r="404" spans="1:7" x14ac:dyDescent="0.25">
      <c r="A404" t="s">
        <v>62</v>
      </c>
      <c r="B404" t="s">
        <v>4</v>
      </c>
      <c r="C404" t="s">
        <v>15</v>
      </c>
      <c r="D404">
        <v>-5289</v>
      </c>
      <c r="E404" t="s">
        <v>351</v>
      </c>
      <c r="F404" t="s">
        <v>154</v>
      </c>
      <c r="G404" t="s">
        <v>311</v>
      </c>
    </row>
    <row r="405" spans="1:7" x14ac:dyDescent="0.25">
      <c r="A405" t="s">
        <v>100</v>
      </c>
      <c r="B405" t="s">
        <v>4</v>
      </c>
      <c r="C405" t="s">
        <v>15</v>
      </c>
      <c r="D405">
        <v>-5292</v>
      </c>
      <c r="E405" t="s">
        <v>367</v>
      </c>
      <c r="F405" t="s">
        <v>154</v>
      </c>
      <c r="G405" t="s">
        <v>311</v>
      </c>
    </row>
    <row r="406" spans="1:7" x14ac:dyDescent="0.25">
      <c r="A406" t="s">
        <v>338</v>
      </c>
      <c r="B406" t="s">
        <v>4</v>
      </c>
      <c r="C406" t="s">
        <v>15</v>
      </c>
      <c r="D406">
        <v>-5522</v>
      </c>
      <c r="E406" t="s">
        <v>6</v>
      </c>
      <c r="F406" t="s">
        <v>7</v>
      </c>
      <c r="G406" t="s">
        <v>8</v>
      </c>
    </row>
    <row r="407" spans="1:7" x14ac:dyDescent="0.25">
      <c r="A407" t="s">
        <v>114</v>
      </c>
      <c r="B407" t="s">
        <v>4</v>
      </c>
      <c r="C407" t="s">
        <v>25</v>
      </c>
      <c r="D407">
        <v>-6140</v>
      </c>
      <c r="E407" t="s">
        <v>321</v>
      </c>
      <c r="F407" t="s">
        <v>154</v>
      </c>
      <c r="G407" t="s">
        <v>311</v>
      </c>
    </row>
    <row r="408" spans="1:7" x14ac:dyDescent="0.25">
      <c r="A408" t="s">
        <v>317</v>
      </c>
      <c r="B408" t="s">
        <v>75</v>
      </c>
      <c r="C408" t="s">
        <v>203</v>
      </c>
      <c r="D408">
        <v>-6954</v>
      </c>
      <c r="E408" t="s">
        <v>6</v>
      </c>
      <c r="F408" t="s">
        <v>7</v>
      </c>
      <c r="G408" t="s">
        <v>8</v>
      </c>
    </row>
    <row r="409" spans="1:7" x14ac:dyDescent="0.25">
      <c r="A409" t="s">
        <v>319</v>
      </c>
      <c r="B409" t="s">
        <v>75</v>
      </c>
      <c r="C409" t="s">
        <v>203</v>
      </c>
      <c r="D409">
        <v>-6955</v>
      </c>
      <c r="E409" t="s">
        <v>348</v>
      </c>
      <c r="F409" t="s">
        <v>154</v>
      </c>
      <c r="G409" t="s">
        <v>311</v>
      </c>
    </row>
    <row r="410" spans="1:7" x14ac:dyDescent="0.25">
      <c r="A410" t="s">
        <v>368</v>
      </c>
      <c r="B410" t="s">
        <v>4</v>
      </c>
      <c r="C410" t="s">
        <v>15</v>
      </c>
      <c r="D410">
        <v>-7039</v>
      </c>
      <c r="E410" t="s">
        <v>6</v>
      </c>
      <c r="F410" t="s">
        <v>7</v>
      </c>
      <c r="G410" t="s">
        <v>8</v>
      </c>
    </row>
    <row r="411" spans="1:7" x14ac:dyDescent="0.25">
      <c r="A411" t="s">
        <v>39</v>
      </c>
      <c r="B411" t="s">
        <v>4</v>
      </c>
      <c r="C411" t="s">
        <v>25</v>
      </c>
      <c r="D411">
        <v>-7797</v>
      </c>
      <c r="E411" t="s">
        <v>346</v>
      </c>
      <c r="F411" t="s">
        <v>154</v>
      </c>
      <c r="G411" t="s">
        <v>311</v>
      </c>
    </row>
    <row r="412" spans="1:7" x14ac:dyDescent="0.25">
      <c r="A412" t="s">
        <v>352</v>
      </c>
      <c r="B412" t="s">
        <v>4</v>
      </c>
      <c r="C412" t="s">
        <v>15</v>
      </c>
      <c r="D412">
        <v>-8003</v>
      </c>
      <c r="E412" t="s">
        <v>369</v>
      </c>
      <c r="F412" t="s">
        <v>154</v>
      </c>
      <c r="G412" t="s">
        <v>311</v>
      </c>
    </row>
    <row r="413" spans="1:7" x14ac:dyDescent="0.25">
      <c r="A413" t="s">
        <v>366</v>
      </c>
      <c r="B413" t="s">
        <v>4</v>
      </c>
      <c r="C413" t="s">
        <v>15</v>
      </c>
      <c r="D413">
        <v>-8039</v>
      </c>
      <c r="E413" t="s">
        <v>321</v>
      </c>
      <c r="F413" t="s">
        <v>154</v>
      </c>
      <c r="G413" t="s">
        <v>311</v>
      </c>
    </row>
    <row r="414" spans="1:7" x14ac:dyDescent="0.25">
      <c r="A414" t="s">
        <v>325</v>
      </c>
      <c r="B414" t="s">
        <v>75</v>
      </c>
      <c r="C414" t="s">
        <v>203</v>
      </c>
      <c r="D414">
        <v>-8529</v>
      </c>
      <c r="E414" t="s">
        <v>370</v>
      </c>
      <c r="F414" t="s">
        <v>154</v>
      </c>
      <c r="G414" t="s">
        <v>311</v>
      </c>
    </row>
    <row r="415" spans="1:7" x14ac:dyDescent="0.25">
      <c r="A415" t="s">
        <v>39</v>
      </c>
      <c r="B415" t="s">
        <v>4</v>
      </c>
      <c r="C415" t="s">
        <v>25</v>
      </c>
      <c r="D415">
        <v>-8751</v>
      </c>
      <c r="E415" t="s">
        <v>321</v>
      </c>
      <c r="F415" t="s">
        <v>154</v>
      </c>
      <c r="G415" t="s">
        <v>311</v>
      </c>
    </row>
    <row r="416" spans="1:7" x14ac:dyDescent="0.25">
      <c r="A416" t="s">
        <v>31</v>
      </c>
      <c r="B416" t="s">
        <v>4</v>
      </c>
      <c r="C416" t="s">
        <v>25</v>
      </c>
      <c r="D416">
        <v>-9005</v>
      </c>
      <c r="E416" t="s">
        <v>321</v>
      </c>
      <c r="F416" t="s">
        <v>154</v>
      </c>
      <c r="G416" t="s">
        <v>311</v>
      </c>
    </row>
    <row r="417" spans="1:7" x14ac:dyDescent="0.25">
      <c r="A417" t="s">
        <v>371</v>
      </c>
      <c r="B417" t="s">
        <v>4</v>
      </c>
      <c r="C417" t="s">
        <v>15</v>
      </c>
      <c r="D417">
        <v>-9156</v>
      </c>
      <c r="E417" t="s">
        <v>346</v>
      </c>
      <c r="F417" t="s">
        <v>154</v>
      </c>
      <c r="G417" t="s">
        <v>311</v>
      </c>
    </row>
    <row r="418" spans="1:7" x14ac:dyDescent="0.25">
      <c r="A418" t="s">
        <v>325</v>
      </c>
      <c r="B418" t="s">
        <v>75</v>
      </c>
      <c r="C418" t="s">
        <v>203</v>
      </c>
      <c r="D418">
        <v>-9239</v>
      </c>
      <c r="E418" t="s">
        <v>372</v>
      </c>
      <c r="F418" t="s">
        <v>154</v>
      </c>
      <c r="G418" t="s">
        <v>311</v>
      </c>
    </row>
    <row r="419" spans="1:7" x14ac:dyDescent="0.25">
      <c r="A419" t="s">
        <v>126</v>
      </c>
      <c r="B419" t="s">
        <v>4</v>
      </c>
      <c r="C419" t="s">
        <v>25</v>
      </c>
      <c r="D419">
        <v>-9762</v>
      </c>
      <c r="E419" t="s">
        <v>373</v>
      </c>
      <c r="F419" t="s">
        <v>241</v>
      </c>
      <c r="G419" t="s">
        <v>311</v>
      </c>
    </row>
    <row r="420" spans="1:7" x14ac:dyDescent="0.25">
      <c r="A420" t="s">
        <v>371</v>
      </c>
      <c r="B420" t="s">
        <v>4</v>
      </c>
      <c r="C420" t="s">
        <v>15</v>
      </c>
      <c r="D420">
        <v>-10105</v>
      </c>
      <c r="E420" t="s">
        <v>374</v>
      </c>
      <c r="F420" t="s">
        <v>154</v>
      </c>
      <c r="G420" t="s">
        <v>311</v>
      </c>
    </row>
    <row r="421" spans="1:7" x14ac:dyDescent="0.25">
      <c r="A421" t="s">
        <v>29</v>
      </c>
      <c r="B421" t="s">
        <v>4</v>
      </c>
      <c r="C421" t="s">
        <v>25</v>
      </c>
      <c r="D421">
        <v>-10637</v>
      </c>
      <c r="E421" t="s">
        <v>375</v>
      </c>
      <c r="F421" t="s">
        <v>241</v>
      </c>
      <c r="G421" t="s">
        <v>311</v>
      </c>
    </row>
    <row r="422" spans="1:7" x14ac:dyDescent="0.25">
      <c r="A422" t="s">
        <v>376</v>
      </c>
      <c r="B422" t="s">
        <v>4</v>
      </c>
      <c r="C422" t="s">
        <v>15</v>
      </c>
      <c r="D422">
        <v>-11018</v>
      </c>
      <c r="E422" t="s">
        <v>346</v>
      </c>
      <c r="F422" t="s">
        <v>154</v>
      </c>
      <c r="G422" t="s">
        <v>311</v>
      </c>
    </row>
    <row r="423" spans="1:7" x14ac:dyDescent="0.25">
      <c r="A423" t="s">
        <v>319</v>
      </c>
      <c r="B423" t="s">
        <v>75</v>
      </c>
      <c r="C423" t="s">
        <v>203</v>
      </c>
      <c r="D423">
        <v>-11385</v>
      </c>
      <c r="E423" t="s">
        <v>318</v>
      </c>
      <c r="F423" t="s">
        <v>154</v>
      </c>
      <c r="G423" t="s">
        <v>311</v>
      </c>
    </row>
    <row r="424" spans="1:7" x14ac:dyDescent="0.25">
      <c r="A424" t="s">
        <v>360</v>
      </c>
      <c r="B424" t="s">
        <v>4</v>
      </c>
      <c r="C424" t="s">
        <v>15</v>
      </c>
      <c r="D424">
        <v>-11389</v>
      </c>
      <c r="E424" t="s">
        <v>6</v>
      </c>
      <c r="F424" t="s">
        <v>7</v>
      </c>
      <c r="G424" t="s">
        <v>8</v>
      </c>
    </row>
    <row r="425" spans="1:7" x14ac:dyDescent="0.25">
      <c r="A425" t="s">
        <v>356</v>
      </c>
      <c r="B425" t="s">
        <v>75</v>
      </c>
      <c r="C425" t="s">
        <v>203</v>
      </c>
      <c r="D425">
        <v>-11537</v>
      </c>
      <c r="E425" t="s">
        <v>6</v>
      </c>
      <c r="F425" t="s">
        <v>7</v>
      </c>
      <c r="G425" t="s">
        <v>8</v>
      </c>
    </row>
    <row r="426" spans="1:7" x14ac:dyDescent="0.25">
      <c r="A426" t="s">
        <v>376</v>
      </c>
      <c r="B426" t="s">
        <v>4</v>
      </c>
      <c r="C426" t="s">
        <v>15</v>
      </c>
      <c r="D426">
        <v>-11936</v>
      </c>
      <c r="E426" t="s">
        <v>377</v>
      </c>
      <c r="F426" t="s">
        <v>154</v>
      </c>
      <c r="G426" t="s">
        <v>311</v>
      </c>
    </row>
    <row r="427" spans="1:7" x14ac:dyDescent="0.25">
      <c r="A427" t="s">
        <v>352</v>
      </c>
      <c r="B427" t="s">
        <v>4</v>
      </c>
      <c r="C427" t="s">
        <v>15</v>
      </c>
      <c r="D427">
        <v>-12172</v>
      </c>
      <c r="E427" t="s">
        <v>6</v>
      </c>
      <c r="F427" t="s">
        <v>7</v>
      </c>
      <c r="G427" t="s">
        <v>8</v>
      </c>
    </row>
    <row r="428" spans="1:7" x14ac:dyDescent="0.25">
      <c r="A428" t="s">
        <v>31</v>
      </c>
      <c r="B428" t="s">
        <v>4</v>
      </c>
      <c r="C428" t="s">
        <v>25</v>
      </c>
      <c r="D428">
        <v>-12522</v>
      </c>
      <c r="E428" t="s">
        <v>346</v>
      </c>
      <c r="F428" t="s">
        <v>154</v>
      </c>
      <c r="G428" t="s">
        <v>311</v>
      </c>
    </row>
    <row r="429" spans="1:7" x14ac:dyDescent="0.25">
      <c r="A429" t="s">
        <v>319</v>
      </c>
      <c r="B429" t="s">
        <v>75</v>
      </c>
      <c r="C429" t="s">
        <v>203</v>
      </c>
      <c r="D429">
        <v>-12718</v>
      </c>
      <c r="E429" t="s">
        <v>6</v>
      </c>
      <c r="F429" t="s">
        <v>7</v>
      </c>
      <c r="G429" t="s">
        <v>8</v>
      </c>
    </row>
    <row r="430" spans="1:7" x14ac:dyDescent="0.25">
      <c r="A430" t="s">
        <v>322</v>
      </c>
      <c r="B430" t="s">
        <v>4</v>
      </c>
      <c r="C430" t="s">
        <v>15</v>
      </c>
      <c r="D430">
        <v>-13021</v>
      </c>
      <c r="E430" t="s">
        <v>6</v>
      </c>
      <c r="F430" t="s">
        <v>7</v>
      </c>
      <c r="G430" t="s">
        <v>8</v>
      </c>
    </row>
    <row r="431" spans="1:7" x14ac:dyDescent="0.25">
      <c r="A431" t="s">
        <v>44</v>
      </c>
      <c r="B431" t="s">
        <v>4</v>
      </c>
      <c r="C431" t="s">
        <v>15</v>
      </c>
      <c r="D431">
        <v>-13186</v>
      </c>
      <c r="E431" t="s">
        <v>334</v>
      </c>
      <c r="F431" t="s">
        <v>154</v>
      </c>
      <c r="G431" t="s">
        <v>311</v>
      </c>
    </row>
    <row r="432" spans="1:7" x14ac:dyDescent="0.25">
      <c r="A432" t="s">
        <v>142</v>
      </c>
      <c r="B432" t="s">
        <v>4</v>
      </c>
      <c r="C432" t="s">
        <v>25</v>
      </c>
      <c r="D432">
        <v>-13667</v>
      </c>
      <c r="E432" t="s">
        <v>373</v>
      </c>
      <c r="F432" t="s">
        <v>241</v>
      </c>
      <c r="G432" t="s">
        <v>311</v>
      </c>
    </row>
    <row r="433" spans="1:7" x14ac:dyDescent="0.25">
      <c r="A433" t="s">
        <v>116</v>
      </c>
      <c r="B433" t="s">
        <v>4</v>
      </c>
      <c r="C433" t="s">
        <v>5</v>
      </c>
      <c r="D433">
        <v>-13704</v>
      </c>
      <c r="E433" t="s">
        <v>378</v>
      </c>
      <c r="F433" t="s">
        <v>379</v>
      </c>
      <c r="G433" t="s">
        <v>311</v>
      </c>
    </row>
    <row r="434" spans="1:7" x14ac:dyDescent="0.25">
      <c r="A434" t="s">
        <v>42</v>
      </c>
      <c r="B434" t="s">
        <v>4</v>
      </c>
      <c r="C434" t="s">
        <v>25</v>
      </c>
      <c r="D434">
        <v>-13952</v>
      </c>
      <c r="E434" t="s">
        <v>321</v>
      </c>
      <c r="F434" t="s">
        <v>154</v>
      </c>
      <c r="G434" t="s">
        <v>311</v>
      </c>
    </row>
    <row r="435" spans="1:7" x14ac:dyDescent="0.25">
      <c r="A435" t="s">
        <v>380</v>
      </c>
      <c r="B435" t="s">
        <v>68</v>
      </c>
      <c r="C435" t="s">
        <v>168</v>
      </c>
      <c r="D435">
        <v>-14712</v>
      </c>
      <c r="E435" t="s">
        <v>6</v>
      </c>
      <c r="F435" t="s">
        <v>7</v>
      </c>
      <c r="G435" t="s">
        <v>8</v>
      </c>
    </row>
    <row r="436" spans="1:7" x14ac:dyDescent="0.25">
      <c r="A436" t="s">
        <v>156</v>
      </c>
      <c r="B436" t="s">
        <v>4</v>
      </c>
      <c r="C436" t="s">
        <v>25</v>
      </c>
      <c r="D436">
        <v>-14910</v>
      </c>
      <c r="E436" t="s">
        <v>373</v>
      </c>
      <c r="F436" t="s">
        <v>241</v>
      </c>
      <c r="G436" t="s">
        <v>311</v>
      </c>
    </row>
    <row r="437" spans="1:7" x14ac:dyDescent="0.25">
      <c r="A437" t="s">
        <v>106</v>
      </c>
      <c r="B437" t="s">
        <v>4</v>
      </c>
      <c r="C437" t="s">
        <v>5</v>
      </c>
      <c r="D437">
        <v>-15627</v>
      </c>
      <c r="E437" t="s">
        <v>378</v>
      </c>
      <c r="F437" t="s">
        <v>379</v>
      </c>
      <c r="G437" t="s">
        <v>311</v>
      </c>
    </row>
    <row r="438" spans="1:7" x14ac:dyDescent="0.25">
      <c r="A438" t="s">
        <v>324</v>
      </c>
      <c r="B438" t="s">
        <v>4</v>
      </c>
      <c r="C438" t="s">
        <v>15</v>
      </c>
      <c r="D438">
        <v>-15898</v>
      </c>
      <c r="E438" t="s">
        <v>6</v>
      </c>
      <c r="F438" t="s">
        <v>7</v>
      </c>
      <c r="G438" t="s">
        <v>8</v>
      </c>
    </row>
    <row r="439" spans="1:7" x14ac:dyDescent="0.25">
      <c r="A439" t="s">
        <v>42</v>
      </c>
      <c r="B439" t="s">
        <v>4</v>
      </c>
      <c r="C439" t="s">
        <v>25</v>
      </c>
      <c r="D439">
        <v>-16302</v>
      </c>
      <c r="E439" t="s">
        <v>346</v>
      </c>
      <c r="F439" t="s">
        <v>154</v>
      </c>
      <c r="G439" t="s">
        <v>311</v>
      </c>
    </row>
    <row r="440" spans="1:7" x14ac:dyDescent="0.25">
      <c r="A440" t="s">
        <v>44</v>
      </c>
      <c r="B440" t="s">
        <v>4</v>
      </c>
      <c r="C440" t="s">
        <v>15</v>
      </c>
      <c r="D440">
        <v>-16856</v>
      </c>
      <c r="E440" t="s">
        <v>351</v>
      </c>
      <c r="F440" t="s">
        <v>154</v>
      </c>
      <c r="G440" t="s">
        <v>311</v>
      </c>
    </row>
    <row r="441" spans="1:7" x14ac:dyDescent="0.25">
      <c r="A441" t="s">
        <v>45</v>
      </c>
      <c r="B441" t="s">
        <v>4</v>
      </c>
      <c r="C441" t="s">
        <v>15</v>
      </c>
      <c r="D441">
        <v>-17439</v>
      </c>
      <c r="E441" t="s">
        <v>381</v>
      </c>
      <c r="F441" t="s">
        <v>241</v>
      </c>
      <c r="G441" t="s">
        <v>311</v>
      </c>
    </row>
    <row r="442" spans="1:7" x14ac:dyDescent="0.25">
      <c r="A442" t="s">
        <v>382</v>
      </c>
      <c r="B442" t="s">
        <v>4</v>
      </c>
      <c r="C442" t="s">
        <v>15</v>
      </c>
      <c r="D442">
        <v>-17588</v>
      </c>
      <c r="E442" t="s">
        <v>6</v>
      </c>
      <c r="F442" t="s">
        <v>7</v>
      </c>
      <c r="G442" t="s">
        <v>8</v>
      </c>
    </row>
    <row r="443" spans="1:7" x14ac:dyDescent="0.25">
      <c r="A443" t="s">
        <v>340</v>
      </c>
      <c r="B443" t="s">
        <v>75</v>
      </c>
      <c r="C443" t="s">
        <v>203</v>
      </c>
      <c r="D443">
        <v>-17603</v>
      </c>
      <c r="E443" t="s">
        <v>6</v>
      </c>
      <c r="F443" t="s">
        <v>7</v>
      </c>
      <c r="G443" t="s">
        <v>8</v>
      </c>
    </row>
    <row r="444" spans="1:7" x14ac:dyDescent="0.25">
      <c r="A444" t="s">
        <v>383</v>
      </c>
      <c r="B444" t="s">
        <v>4</v>
      </c>
      <c r="C444" t="s">
        <v>15</v>
      </c>
      <c r="D444">
        <v>-17952</v>
      </c>
      <c r="E444" t="s">
        <v>384</v>
      </c>
      <c r="F444" t="s">
        <v>154</v>
      </c>
      <c r="G444" t="s">
        <v>311</v>
      </c>
    </row>
    <row r="445" spans="1:7" x14ac:dyDescent="0.25">
      <c r="A445" t="s">
        <v>383</v>
      </c>
      <c r="B445" t="s">
        <v>4</v>
      </c>
      <c r="C445" t="s">
        <v>15</v>
      </c>
      <c r="D445">
        <v>-18415</v>
      </c>
      <c r="E445" t="s">
        <v>6</v>
      </c>
      <c r="F445" t="s">
        <v>7</v>
      </c>
      <c r="G445" t="s">
        <v>8</v>
      </c>
    </row>
    <row r="446" spans="1:7" x14ac:dyDescent="0.25">
      <c r="A446" t="s">
        <v>45</v>
      </c>
      <c r="B446" t="s">
        <v>4</v>
      </c>
      <c r="C446" t="s">
        <v>15</v>
      </c>
      <c r="D446">
        <v>-19181</v>
      </c>
      <c r="E446" t="s">
        <v>351</v>
      </c>
      <c r="F446" t="s">
        <v>154</v>
      </c>
      <c r="G446" t="s">
        <v>311</v>
      </c>
    </row>
    <row r="447" spans="1:7" x14ac:dyDescent="0.25">
      <c r="A447" t="s">
        <v>385</v>
      </c>
      <c r="B447" t="s">
        <v>68</v>
      </c>
      <c r="C447" t="s">
        <v>168</v>
      </c>
      <c r="D447">
        <v>-19591</v>
      </c>
      <c r="E447" t="s">
        <v>6</v>
      </c>
      <c r="F447" t="s">
        <v>7</v>
      </c>
      <c r="G447" t="s">
        <v>8</v>
      </c>
    </row>
    <row r="448" spans="1:7" x14ac:dyDescent="0.25">
      <c r="A448" t="s">
        <v>386</v>
      </c>
      <c r="B448" t="s">
        <v>68</v>
      </c>
      <c r="C448" t="s">
        <v>168</v>
      </c>
      <c r="D448">
        <v>-19713</v>
      </c>
      <c r="E448" t="s">
        <v>6</v>
      </c>
      <c r="F448" t="s">
        <v>7</v>
      </c>
      <c r="G448" t="s">
        <v>8</v>
      </c>
    </row>
    <row r="449" spans="1:7" x14ac:dyDescent="0.25">
      <c r="A449" t="s">
        <v>110</v>
      </c>
      <c r="B449" t="s">
        <v>4</v>
      </c>
      <c r="C449" t="s">
        <v>5</v>
      </c>
      <c r="D449">
        <v>-20436</v>
      </c>
      <c r="E449" t="s">
        <v>378</v>
      </c>
      <c r="F449" t="s">
        <v>379</v>
      </c>
      <c r="G449" t="s">
        <v>311</v>
      </c>
    </row>
    <row r="450" spans="1:7" x14ac:dyDescent="0.25">
      <c r="A450" t="s">
        <v>327</v>
      </c>
      <c r="B450" t="s">
        <v>75</v>
      </c>
      <c r="C450" t="s">
        <v>203</v>
      </c>
      <c r="D450">
        <v>-20542</v>
      </c>
      <c r="E450" t="s">
        <v>6</v>
      </c>
      <c r="F450" t="s">
        <v>7</v>
      </c>
      <c r="G450" t="s">
        <v>8</v>
      </c>
    </row>
    <row r="451" spans="1:7" x14ac:dyDescent="0.25">
      <c r="A451" t="s">
        <v>104</v>
      </c>
      <c r="B451" t="s">
        <v>4</v>
      </c>
      <c r="C451" t="s">
        <v>5</v>
      </c>
      <c r="D451">
        <v>-20676</v>
      </c>
      <c r="E451" t="s">
        <v>378</v>
      </c>
      <c r="F451" t="s">
        <v>379</v>
      </c>
      <c r="G451" t="s">
        <v>311</v>
      </c>
    </row>
    <row r="452" spans="1:7" x14ac:dyDescent="0.25">
      <c r="A452" t="s">
        <v>173</v>
      </c>
      <c r="B452" t="s">
        <v>4</v>
      </c>
      <c r="C452" t="s">
        <v>25</v>
      </c>
      <c r="D452">
        <v>-21122</v>
      </c>
      <c r="E452" t="s">
        <v>373</v>
      </c>
      <c r="F452" t="s">
        <v>241</v>
      </c>
      <c r="G452" t="s">
        <v>311</v>
      </c>
    </row>
    <row r="453" spans="1:7" x14ac:dyDescent="0.25">
      <c r="A453" t="s">
        <v>97</v>
      </c>
      <c r="B453" t="s">
        <v>4</v>
      </c>
      <c r="C453" t="s">
        <v>5</v>
      </c>
      <c r="D453">
        <v>-21397</v>
      </c>
      <c r="E453" t="s">
        <v>378</v>
      </c>
      <c r="F453" t="s">
        <v>379</v>
      </c>
      <c r="G453" t="s">
        <v>311</v>
      </c>
    </row>
    <row r="454" spans="1:7" x14ac:dyDescent="0.25">
      <c r="A454" t="s">
        <v>146</v>
      </c>
      <c r="B454" t="s">
        <v>4</v>
      </c>
      <c r="C454" t="s">
        <v>25</v>
      </c>
      <c r="D454">
        <v>-22719</v>
      </c>
      <c r="E454" t="s">
        <v>373</v>
      </c>
      <c r="F454" t="s">
        <v>241</v>
      </c>
      <c r="G454" t="s">
        <v>311</v>
      </c>
    </row>
    <row r="455" spans="1:7" x14ac:dyDescent="0.25">
      <c r="A455" t="s">
        <v>331</v>
      </c>
      <c r="B455" t="s">
        <v>68</v>
      </c>
      <c r="C455" t="s">
        <v>168</v>
      </c>
      <c r="D455">
        <v>-23155</v>
      </c>
      <c r="E455" t="s">
        <v>6</v>
      </c>
      <c r="F455" t="s">
        <v>7</v>
      </c>
      <c r="G455" t="s">
        <v>8</v>
      </c>
    </row>
    <row r="456" spans="1:7" x14ac:dyDescent="0.25">
      <c r="A456" t="s">
        <v>387</v>
      </c>
      <c r="B456" t="s">
        <v>68</v>
      </c>
      <c r="C456" t="s">
        <v>168</v>
      </c>
      <c r="D456">
        <v>-23676</v>
      </c>
      <c r="E456" t="s">
        <v>6</v>
      </c>
      <c r="F456" t="s">
        <v>7</v>
      </c>
      <c r="G456" t="s">
        <v>8</v>
      </c>
    </row>
    <row r="457" spans="1:7" x14ac:dyDescent="0.25">
      <c r="A457" t="s">
        <v>45</v>
      </c>
      <c r="B457" t="s">
        <v>4</v>
      </c>
      <c r="C457" t="s">
        <v>15</v>
      </c>
      <c r="D457">
        <v>-24290</v>
      </c>
      <c r="E457" t="s">
        <v>334</v>
      </c>
      <c r="F457" t="s">
        <v>154</v>
      </c>
      <c r="G457" t="s">
        <v>311</v>
      </c>
    </row>
    <row r="458" spans="1:7" x14ac:dyDescent="0.25">
      <c r="A458" t="s">
        <v>388</v>
      </c>
      <c r="B458" t="s">
        <v>68</v>
      </c>
      <c r="C458" t="s">
        <v>168</v>
      </c>
      <c r="D458">
        <v>-26974</v>
      </c>
      <c r="E458" t="s">
        <v>6</v>
      </c>
      <c r="F458" t="s">
        <v>7</v>
      </c>
      <c r="G458" t="s">
        <v>8</v>
      </c>
    </row>
    <row r="459" spans="1:7" x14ac:dyDescent="0.25">
      <c r="A459" t="s">
        <v>389</v>
      </c>
      <c r="B459" t="s">
        <v>68</v>
      </c>
      <c r="C459" t="s">
        <v>168</v>
      </c>
      <c r="D459">
        <v>-27032</v>
      </c>
      <c r="E459" t="s">
        <v>6</v>
      </c>
      <c r="F459" t="s">
        <v>7</v>
      </c>
      <c r="G459" t="s">
        <v>8</v>
      </c>
    </row>
    <row r="460" spans="1:7" x14ac:dyDescent="0.25">
      <c r="A460" t="s">
        <v>328</v>
      </c>
      <c r="B460" t="s">
        <v>68</v>
      </c>
      <c r="C460" t="s">
        <v>168</v>
      </c>
      <c r="D460">
        <v>-30804</v>
      </c>
      <c r="E460" t="s">
        <v>6</v>
      </c>
      <c r="F460" t="s">
        <v>7</v>
      </c>
      <c r="G460" t="s">
        <v>8</v>
      </c>
    </row>
    <row r="461" spans="1:7" x14ac:dyDescent="0.25">
      <c r="A461" t="s">
        <v>359</v>
      </c>
      <c r="B461" t="s">
        <v>4</v>
      </c>
      <c r="C461" t="s">
        <v>15</v>
      </c>
      <c r="D461">
        <v>-31929</v>
      </c>
      <c r="E461" t="s">
        <v>6</v>
      </c>
      <c r="F461" t="s">
        <v>7</v>
      </c>
      <c r="G461" t="s">
        <v>8</v>
      </c>
    </row>
    <row r="462" spans="1:7" x14ac:dyDescent="0.25">
      <c r="A462" t="s">
        <v>166</v>
      </c>
      <c r="B462" t="s">
        <v>4</v>
      </c>
      <c r="C462" t="s">
        <v>25</v>
      </c>
      <c r="D462">
        <v>-34434</v>
      </c>
      <c r="E462" t="s">
        <v>373</v>
      </c>
      <c r="F462" t="s">
        <v>241</v>
      </c>
      <c r="G462" t="s">
        <v>311</v>
      </c>
    </row>
    <row r="463" spans="1:7" x14ac:dyDescent="0.25">
      <c r="A463" t="s">
        <v>345</v>
      </c>
      <c r="B463" t="s">
        <v>4</v>
      </c>
      <c r="C463" t="s">
        <v>15</v>
      </c>
      <c r="D463">
        <v>-34742</v>
      </c>
      <c r="E463" t="s">
        <v>6</v>
      </c>
      <c r="F463" t="s">
        <v>7</v>
      </c>
      <c r="G463" t="s">
        <v>8</v>
      </c>
    </row>
    <row r="464" spans="1:7" x14ac:dyDescent="0.25">
      <c r="A464" t="s">
        <v>178</v>
      </c>
      <c r="B464" t="s">
        <v>4</v>
      </c>
      <c r="C464" t="s">
        <v>25</v>
      </c>
      <c r="D464">
        <v>-34967</v>
      </c>
      <c r="E464" t="s">
        <v>373</v>
      </c>
      <c r="F464" t="s">
        <v>241</v>
      </c>
      <c r="G464" t="s">
        <v>311</v>
      </c>
    </row>
    <row r="465" spans="1:7" x14ac:dyDescent="0.25">
      <c r="A465" t="s">
        <v>350</v>
      </c>
      <c r="B465" t="s">
        <v>4</v>
      </c>
      <c r="C465" t="s">
        <v>15</v>
      </c>
      <c r="D465">
        <v>-35284</v>
      </c>
      <c r="E465" t="s">
        <v>6</v>
      </c>
      <c r="F465" t="s">
        <v>7</v>
      </c>
      <c r="G465" t="s">
        <v>8</v>
      </c>
    </row>
    <row r="466" spans="1:7" x14ac:dyDescent="0.25">
      <c r="A466" t="s">
        <v>325</v>
      </c>
      <c r="B466" t="s">
        <v>75</v>
      </c>
      <c r="C466" t="s">
        <v>203</v>
      </c>
      <c r="D466">
        <v>-36679</v>
      </c>
      <c r="E466" t="s">
        <v>6</v>
      </c>
      <c r="F466" t="s">
        <v>7</v>
      </c>
      <c r="G466" t="s">
        <v>8</v>
      </c>
    </row>
    <row r="467" spans="1:7" x14ac:dyDescent="0.25">
      <c r="A467" t="s">
        <v>376</v>
      </c>
      <c r="B467" t="s">
        <v>4</v>
      </c>
      <c r="C467" t="s">
        <v>15</v>
      </c>
      <c r="D467">
        <v>-38959</v>
      </c>
      <c r="E467" t="s">
        <v>6</v>
      </c>
      <c r="F467" t="s">
        <v>7</v>
      </c>
      <c r="G467" t="s">
        <v>8</v>
      </c>
    </row>
    <row r="468" spans="1:7" x14ac:dyDescent="0.25">
      <c r="A468" t="s">
        <v>179</v>
      </c>
      <c r="B468" t="s">
        <v>4</v>
      </c>
      <c r="C468" t="s">
        <v>25</v>
      </c>
      <c r="D468">
        <v>-41357</v>
      </c>
      <c r="E468" t="s">
        <v>373</v>
      </c>
      <c r="F468" t="s">
        <v>241</v>
      </c>
      <c r="G468" t="s">
        <v>311</v>
      </c>
    </row>
    <row r="469" spans="1:7" x14ac:dyDescent="0.25">
      <c r="A469" t="s">
        <v>200</v>
      </c>
      <c r="B469" t="s">
        <v>4</v>
      </c>
      <c r="C469" t="s">
        <v>25</v>
      </c>
      <c r="D469">
        <v>-41889</v>
      </c>
      <c r="E469" t="s">
        <v>373</v>
      </c>
      <c r="F469" t="s">
        <v>241</v>
      </c>
      <c r="G469" t="s">
        <v>311</v>
      </c>
    </row>
    <row r="470" spans="1:7" x14ac:dyDescent="0.25">
      <c r="A470" t="s">
        <v>195</v>
      </c>
      <c r="B470" t="s">
        <v>4</v>
      </c>
      <c r="C470" t="s">
        <v>25</v>
      </c>
      <c r="D470">
        <v>-42244</v>
      </c>
      <c r="E470" t="s">
        <v>373</v>
      </c>
      <c r="F470" t="s">
        <v>241</v>
      </c>
      <c r="G470" t="s">
        <v>311</v>
      </c>
    </row>
    <row r="471" spans="1:7" x14ac:dyDescent="0.25">
      <c r="A471" t="s">
        <v>366</v>
      </c>
      <c r="B471" t="s">
        <v>4</v>
      </c>
      <c r="C471" t="s">
        <v>15</v>
      </c>
      <c r="D471">
        <v>-42408</v>
      </c>
      <c r="E471" t="s">
        <v>6</v>
      </c>
      <c r="F471" t="s">
        <v>7</v>
      </c>
      <c r="G471" t="s">
        <v>8</v>
      </c>
    </row>
    <row r="472" spans="1:7" x14ac:dyDescent="0.25">
      <c r="A472" t="s">
        <v>371</v>
      </c>
      <c r="B472" t="s">
        <v>4</v>
      </c>
      <c r="C472" t="s">
        <v>15</v>
      </c>
      <c r="D472">
        <v>-50539</v>
      </c>
      <c r="E472" t="s">
        <v>6</v>
      </c>
      <c r="F472" t="s">
        <v>7</v>
      </c>
      <c r="G472" t="s">
        <v>8</v>
      </c>
    </row>
    <row r="473" spans="1:7" x14ac:dyDescent="0.25">
      <c r="A473" t="s">
        <v>37</v>
      </c>
      <c r="B473" t="s">
        <v>4</v>
      </c>
      <c r="C473" t="s">
        <v>5</v>
      </c>
      <c r="D473">
        <v>-54386</v>
      </c>
      <c r="E473" t="s">
        <v>390</v>
      </c>
      <c r="F473" t="s">
        <v>6</v>
      </c>
      <c r="G473" t="s">
        <v>311</v>
      </c>
    </row>
    <row r="474" spans="1:7" x14ac:dyDescent="0.25">
      <c r="A474" t="s">
        <v>24</v>
      </c>
      <c r="B474" t="s">
        <v>4</v>
      </c>
      <c r="C474" t="s">
        <v>25</v>
      </c>
      <c r="D474">
        <v>-55366</v>
      </c>
      <c r="E474" t="s">
        <v>391</v>
      </c>
      <c r="F474" t="s">
        <v>6</v>
      </c>
      <c r="G474" t="s">
        <v>311</v>
      </c>
    </row>
    <row r="475" spans="1:7" x14ac:dyDescent="0.25">
      <c r="A475" t="s">
        <v>26</v>
      </c>
      <c r="B475" t="s">
        <v>4</v>
      </c>
      <c r="C475" t="s">
        <v>5</v>
      </c>
      <c r="D475">
        <v>-66623</v>
      </c>
      <c r="E475" t="s">
        <v>390</v>
      </c>
      <c r="F475" t="s">
        <v>6</v>
      </c>
      <c r="G475" t="s">
        <v>311</v>
      </c>
    </row>
    <row r="476" spans="1:7" x14ac:dyDescent="0.25">
      <c r="A476" t="s">
        <v>30</v>
      </c>
      <c r="B476" t="s">
        <v>4</v>
      </c>
      <c r="C476" t="s">
        <v>5</v>
      </c>
      <c r="D476">
        <v>-72062</v>
      </c>
      <c r="E476" t="s">
        <v>390</v>
      </c>
      <c r="F476" t="s">
        <v>6</v>
      </c>
      <c r="G476" t="s">
        <v>311</v>
      </c>
    </row>
    <row r="477" spans="1:7" x14ac:dyDescent="0.25">
      <c r="A477" t="s">
        <v>20</v>
      </c>
      <c r="B477" t="s">
        <v>4</v>
      </c>
      <c r="C477" t="s">
        <v>5</v>
      </c>
      <c r="D477">
        <v>-78280</v>
      </c>
      <c r="E477" t="s">
        <v>390</v>
      </c>
      <c r="F477" t="s">
        <v>6</v>
      </c>
      <c r="G477" t="s">
        <v>311</v>
      </c>
    </row>
    <row r="478" spans="1:7" x14ac:dyDescent="0.25">
      <c r="A478" t="s">
        <v>27</v>
      </c>
      <c r="B478" t="s">
        <v>4</v>
      </c>
      <c r="C478" t="s">
        <v>5</v>
      </c>
      <c r="D478">
        <v>-80980</v>
      </c>
      <c r="E478" t="s">
        <v>390</v>
      </c>
      <c r="F478" t="s">
        <v>6</v>
      </c>
      <c r="G478" t="s">
        <v>311</v>
      </c>
    </row>
    <row r="479" spans="1:7" x14ac:dyDescent="0.25">
      <c r="A479" t="s">
        <v>22</v>
      </c>
      <c r="B479" t="s">
        <v>4</v>
      </c>
      <c r="C479" t="s">
        <v>5</v>
      </c>
      <c r="D479">
        <v>-82329</v>
      </c>
      <c r="E479" t="s">
        <v>390</v>
      </c>
      <c r="F479" t="s">
        <v>6</v>
      </c>
      <c r="G479" t="s">
        <v>311</v>
      </c>
    </row>
    <row r="480" spans="1:7" x14ac:dyDescent="0.25">
      <c r="A480" t="s">
        <v>21</v>
      </c>
      <c r="B480" t="s">
        <v>4</v>
      </c>
      <c r="C480" t="s">
        <v>5</v>
      </c>
      <c r="D480">
        <v>-88378</v>
      </c>
      <c r="E480" t="s">
        <v>390</v>
      </c>
      <c r="F480" t="s">
        <v>6</v>
      </c>
      <c r="G480" t="s">
        <v>311</v>
      </c>
    </row>
    <row r="481" spans="1:7" x14ac:dyDescent="0.25">
      <c r="A481" t="s">
        <v>23</v>
      </c>
      <c r="B481" t="s">
        <v>4</v>
      </c>
      <c r="C481" t="s">
        <v>5</v>
      </c>
      <c r="D481">
        <v>-94476</v>
      </c>
      <c r="E481" t="s">
        <v>390</v>
      </c>
      <c r="F481" t="s">
        <v>6</v>
      </c>
      <c r="G481" t="s">
        <v>311</v>
      </c>
    </row>
    <row r="482" spans="1:7" x14ac:dyDescent="0.25">
      <c r="A482" t="s">
        <v>366</v>
      </c>
      <c r="B482" t="s">
        <v>4</v>
      </c>
      <c r="C482" t="s">
        <v>15</v>
      </c>
      <c r="D482">
        <v>-97973</v>
      </c>
      <c r="E482" t="s">
        <v>390</v>
      </c>
      <c r="F482" t="s">
        <v>6</v>
      </c>
      <c r="G482" t="s">
        <v>311</v>
      </c>
    </row>
    <row r="483" spans="1:7" x14ac:dyDescent="0.25">
      <c r="A483" t="s">
        <v>32</v>
      </c>
      <c r="B483" t="s">
        <v>4</v>
      </c>
      <c r="C483" t="s">
        <v>25</v>
      </c>
      <c r="D483">
        <v>-102822</v>
      </c>
      <c r="E483" t="s">
        <v>391</v>
      </c>
      <c r="F483" t="s">
        <v>6</v>
      </c>
      <c r="G483" t="s">
        <v>311</v>
      </c>
    </row>
    <row r="484" spans="1:7" x14ac:dyDescent="0.25">
      <c r="A484" t="s">
        <v>29</v>
      </c>
      <c r="B484" t="s">
        <v>4</v>
      </c>
      <c r="C484" t="s">
        <v>25</v>
      </c>
      <c r="D484">
        <v>-176883</v>
      </c>
      <c r="E484" t="s">
        <v>391</v>
      </c>
      <c r="F484" t="s">
        <v>6</v>
      </c>
      <c r="G484" t="s">
        <v>311</v>
      </c>
    </row>
    <row r="485" spans="1:7" x14ac:dyDescent="0.25">
      <c r="A485" t="s">
        <v>39</v>
      </c>
      <c r="B485" t="s">
        <v>4</v>
      </c>
      <c r="C485" t="s">
        <v>25</v>
      </c>
      <c r="D485">
        <v>-212835</v>
      </c>
      <c r="E485" t="s">
        <v>391</v>
      </c>
      <c r="F485" t="s">
        <v>6</v>
      </c>
      <c r="G485" t="s">
        <v>311</v>
      </c>
    </row>
  </sheetData>
  <conditionalFormatting sqref="L10">
    <cfRule type="colorScale" priority="6">
      <colorScale>
        <cfvo type="num" val="0"/>
        <cfvo type="num" val="&quot;&gt; 20&quot;"/>
        <color theme="9"/>
        <color rgb="FFFFEF9C"/>
      </colorScale>
    </cfRule>
  </conditionalFormatting>
  <conditionalFormatting sqref="L10:L15">
    <cfRule type="colorScale" priority="5">
      <colorScale>
        <cfvo type="num" val="0"/>
        <cfvo type="num" val="20"/>
        <color theme="2"/>
        <color rgb="FFFFEF9C"/>
      </colorScale>
    </cfRule>
    <cfRule type="colorScale" priority="4">
      <colorScale>
        <cfvo type="num" val="0"/>
        <cfvo type="num" val="50"/>
        <color theme="2"/>
        <color rgb="FFC00000"/>
      </colorScale>
    </cfRule>
  </conditionalFormatting>
  <conditionalFormatting sqref="M10:M15">
    <cfRule type="colorScale" priority="3">
      <colorScale>
        <cfvo type="num" val="0"/>
        <cfvo type="num" val="40"/>
        <color theme="4"/>
        <color rgb="FF00B050"/>
      </colorScale>
    </cfRule>
  </conditionalFormatting>
  <conditionalFormatting sqref="N10:N15">
    <cfRule type="colorScale" priority="2">
      <colorScale>
        <cfvo type="num" val="0"/>
        <cfvo type="num" val="100"/>
        <color rgb="FFFF7128"/>
        <color theme="2" tint="-0.249977111117893"/>
      </colorScale>
    </cfRule>
  </conditionalFormatting>
  <conditionalFormatting pivot="1" sqref="J21:M55">
    <cfRule type="cellIs" dxfId="0" priority="1" operator="lessThan">
      <formula>0</formula>
    </cfRule>
  </conditionalFormatting>
  <pageMargins left="0.7" right="0.7" top="0.75" bottom="0.75" header="0.3" footer="0.3"/>
  <pageSetup orientation="portrait" copies="0" r:id="rId3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B941-04A2-46A0-ACC0-85E7C2251995}">
  <dimension ref="A1:J85"/>
  <sheetViews>
    <sheetView zoomScaleNormal="100" workbookViewId="0">
      <selection activeCell="I1" activeCellId="2" sqref="A1:A1048576 I1 I1:I1048576"/>
    </sheetView>
  </sheetViews>
  <sheetFormatPr defaultRowHeight="15" x14ac:dyDescent="0.25"/>
  <cols>
    <col min="1" max="1" width="27" bestFit="1" customWidth="1"/>
    <col min="2" max="2" width="12.28515625" bestFit="1" customWidth="1"/>
    <col min="3" max="3" width="16.7109375" bestFit="1" customWidth="1"/>
    <col min="4" max="4" width="20.42578125" bestFit="1" customWidth="1"/>
    <col min="5" max="5" width="14.42578125" bestFit="1" customWidth="1"/>
    <col min="6" max="6" width="16.7109375" bestFit="1" customWidth="1"/>
    <col min="7" max="7" width="17.28515625" bestFit="1" customWidth="1"/>
    <col min="8" max="8" width="13.7109375" bestFit="1" customWidth="1"/>
    <col min="9" max="9" width="22.85546875" bestFit="1" customWidth="1"/>
    <col min="10" max="10" width="29" bestFit="1" customWidth="1"/>
  </cols>
  <sheetData>
    <row r="1" spans="1:10" x14ac:dyDescent="0.25">
      <c r="A1" t="s">
        <v>396</v>
      </c>
      <c r="B1" t="s">
        <v>0</v>
      </c>
      <c r="C1" t="s">
        <v>1</v>
      </c>
      <c r="D1" t="s">
        <v>397</v>
      </c>
      <c r="E1" t="s">
        <v>398</v>
      </c>
      <c r="F1" t="s">
        <v>399</v>
      </c>
      <c r="G1" t="s">
        <v>400</v>
      </c>
      <c r="H1" t="s">
        <v>401</v>
      </c>
      <c r="I1" t="s">
        <v>402</v>
      </c>
      <c r="J1" t="s">
        <v>408</v>
      </c>
    </row>
    <row r="2" spans="1:10" x14ac:dyDescent="0.25">
      <c r="A2" t="s">
        <v>403</v>
      </c>
      <c r="B2" t="s">
        <v>48</v>
      </c>
      <c r="C2" t="s">
        <v>84</v>
      </c>
      <c r="D2">
        <v>17494</v>
      </c>
      <c r="E2">
        <v>17994</v>
      </c>
      <c r="F2">
        <v>246439</v>
      </c>
      <c r="G2">
        <v>0</v>
      </c>
      <c r="H2">
        <v>154043</v>
      </c>
      <c r="I2">
        <f>IFERROR(ROUND(H3 / G3, 2), 0)</f>
        <v>0</v>
      </c>
      <c r="J2" t="str" cm="1">
        <f t="array" ref="J2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3" spans="1:10" x14ac:dyDescent="0.25">
      <c r="A3" t="s">
        <v>403</v>
      </c>
      <c r="B3" t="s">
        <v>48</v>
      </c>
      <c r="C3" t="s">
        <v>129</v>
      </c>
      <c r="D3">
        <v>8370</v>
      </c>
      <c r="E3">
        <v>9755</v>
      </c>
      <c r="F3">
        <v>62110</v>
      </c>
      <c r="G3">
        <v>0</v>
      </c>
      <c r="H3">
        <v>37556</v>
      </c>
      <c r="I3">
        <f t="shared" ref="I3:I66" si="0">IFERROR(ROUND(H3 / G3, 2), 0)</f>
        <v>0</v>
      </c>
      <c r="J3" t="str" cm="1">
        <f t="array" ref="J3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4" spans="1:10" x14ac:dyDescent="0.25">
      <c r="A4" t="s">
        <v>403</v>
      </c>
      <c r="B4" t="s">
        <v>75</v>
      </c>
      <c r="C4" t="s">
        <v>113</v>
      </c>
      <c r="D4">
        <v>5970</v>
      </c>
      <c r="E4">
        <v>15569</v>
      </c>
      <c r="F4">
        <v>280825</v>
      </c>
      <c r="G4">
        <v>0</v>
      </c>
      <c r="H4">
        <v>113890</v>
      </c>
      <c r="I4">
        <f t="shared" si="0"/>
        <v>0</v>
      </c>
      <c r="J4" t="str" cm="1">
        <f t="array" ref="J4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5" spans="1:10" x14ac:dyDescent="0.25">
      <c r="A5" t="s">
        <v>403</v>
      </c>
      <c r="B5" t="s">
        <v>4</v>
      </c>
      <c r="C5" t="s">
        <v>25</v>
      </c>
      <c r="D5">
        <v>5839</v>
      </c>
      <c r="E5">
        <v>11688</v>
      </c>
      <c r="F5">
        <v>12516566</v>
      </c>
      <c r="G5">
        <v>0</v>
      </c>
      <c r="H5">
        <v>1142689</v>
      </c>
      <c r="I5">
        <f t="shared" si="0"/>
        <v>0</v>
      </c>
      <c r="J5" t="str" cm="1">
        <f t="array" ref="J5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6" spans="1:10" x14ac:dyDescent="0.25">
      <c r="A6" t="s">
        <v>403</v>
      </c>
      <c r="B6" t="s">
        <v>68</v>
      </c>
      <c r="C6" t="s">
        <v>86</v>
      </c>
      <c r="D6">
        <v>7892</v>
      </c>
      <c r="E6">
        <v>19500</v>
      </c>
      <c r="F6">
        <v>10865078</v>
      </c>
      <c r="G6">
        <v>0</v>
      </c>
      <c r="H6">
        <v>1297057</v>
      </c>
      <c r="I6">
        <f t="shared" si="0"/>
        <v>0</v>
      </c>
      <c r="J6" t="str" cm="1">
        <f t="array" ref="J6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7" spans="1:10" x14ac:dyDescent="0.25">
      <c r="A7" t="s">
        <v>403</v>
      </c>
      <c r="B7" t="s">
        <v>4</v>
      </c>
      <c r="C7" t="s">
        <v>15</v>
      </c>
      <c r="D7">
        <v>33097</v>
      </c>
      <c r="E7">
        <v>73450</v>
      </c>
      <c r="F7">
        <v>64775500</v>
      </c>
      <c r="G7">
        <v>0</v>
      </c>
      <c r="H7">
        <v>6597037</v>
      </c>
      <c r="I7">
        <f t="shared" si="0"/>
        <v>0</v>
      </c>
      <c r="J7" t="str" cm="1">
        <f t="array" ref="J7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8" spans="1:10" x14ac:dyDescent="0.25">
      <c r="A8" t="s">
        <v>403</v>
      </c>
      <c r="B8" t="s">
        <v>68</v>
      </c>
      <c r="C8" t="s">
        <v>160</v>
      </c>
      <c r="D8">
        <v>368</v>
      </c>
      <c r="E8">
        <v>921</v>
      </c>
      <c r="F8">
        <v>51826</v>
      </c>
      <c r="G8">
        <v>0</v>
      </c>
      <c r="H8">
        <v>13475</v>
      </c>
      <c r="I8">
        <f t="shared" si="0"/>
        <v>0</v>
      </c>
      <c r="J8" t="str" cm="1">
        <f t="array" ref="J8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9" spans="1:10" x14ac:dyDescent="0.25">
      <c r="A9" t="s">
        <v>403</v>
      </c>
      <c r="B9" t="s">
        <v>68</v>
      </c>
      <c r="C9" t="s">
        <v>149</v>
      </c>
      <c r="D9">
        <v>2909</v>
      </c>
      <c r="E9">
        <v>7446</v>
      </c>
      <c r="F9">
        <v>322272</v>
      </c>
      <c r="G9">
        <v>0</v>
      </c>
      <c r="H9">
        <v>83388</v>
      </c>
      <c r="I9">
        <f t="shared" si="0"/>
        <v>0</v>
      </c>
      <c r="J9" t="str" cm="1">
        <f t="array" ref="J9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10" spans="1:10" x14ac:dyDescent="0.25">
      <c r="A10" t="s">
        <v>403</v>
      </c>
      <c r="B10" t="s">
        <v>75</v>
      </c>
      <c r="C10" t="s">
        <v>219</v>
      </c>
      <c r="D10">
        <v>1338</v>
      </c>
      <c r="E10">
        <v>3798</v>
      </c>
      <c r="F10">
        <v>22784</v>
      </c>
      <c r="G10">
        <v>0</v>
      </c>
      <c r="H10">
        <v>9986</v>
      </c>
      <c r="I10">
        <f t="shared" si="0"/>
        <v>0</v>
      </c>
      <c r="J10" t="str" cm="1">
        <f t="array" ref="J10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11" spans="1:10" x14ac:dyDescent="0.25">
      <c r="A11" t="s">
        <v>403</v>
      </c>
      <c r="B11" t="s">
        <v>68</v>
      </c>
      <c r="C11" t="s">
        <v>69</v>
      </c>
      <c r="D11">
        <v>1892</v>
      </c>
      <c r="E11">
        <v>5123</v>
      </c>
      <c r="F11">
        <v>659210</v>
      </c>
      <c r="G11">
        <v>0</v>
      </c>
      <c r="H11">
        <v>171641</v>
      </c>
      <c r="I11">
        <f t="shared" si="0"/>
        <v>0</v>
      </c>
      <c r="J11" t="str" cm="1">
        <f t="array" ref="J11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12" spans="1:10" x14ac:dyDescent="0.25">
      <c r="A12" t="s">
        <v>403</v>
      </c>
      <c r="B12" t="s">
        <v>75</v>
      </c>
      <c r="C12" t="s">
        <v>80</v>
      </c>
      <c r="D12">
        <v>1258</v>
      </c>
      <c r="E12">
        <v>3926</v>
      </c>
      <c r="F12">
        <v>163855</v>
      </c>
      <c r="G12">
        <v>0</v>
      </c>
      <c r="H12">
        <v>70617</v>
      </c>
      <c r="I12">
        <f t="shared" si="0"/>
        <v>0</v>
      </c>
      <c r="J12" t="str" cm="1">
        <f t="array" ref="J12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13" spans="1:10" x14ac:dyDescent="0.25">
      <c r="A13" t="s">
        <v>403</v>
      </c>
      <c r="B13" t="s">
        <v>75</v>
      </c>
      <c r="C13" t="s">
        <v>203</v>
      </c>
      <c r="D13">
        <v>15273</v>
      </c>
      <c r="E13">
        <v>41201</v>
      </c>
      <c r="F13">
        <v>1370435</v>
      </c>
      <c r="G13">
        <v>0</v>
      </c>
      <c r="H13">
        <v>-49248</v>
      </c>
      <c r="I13">
        <f t="shared" si="0"/>
        <v>0</v>
      </c>
      <c r="J13" t="str" cm="1">
        <f t="array" ref="J13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14" spans="1:10" x14ac:dyDescent="0.25">
      <c r="A14" t="s">
        <v>403</v>
      </c>
      <c r="B14" t="s">
        <v>68</v>
      </c>
      <c r="C14" t="s">
        <v>280</v>
      </c>
      <c r="D14">
        <v>1415</v>
      </c>
      <c r="E14">
        <v>3546</v>
      </c>
      <c r="F14">
        <v>1553799</v>
      </c>
      <c r="G14">
        <v>0</v>
      </c>
      <c r="H14">
        <v>1554</v>
      </c>
      <c r="I14">
        <f t="shared" si="0"/>
        <v>0</v>
      </c>
      <c r="J14" t="str" cm="1">
        <f t="array" ref="J14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15" spans="1:10" x14ac:dyDescent="0.25">
      <c r="A15" t="s">
        <v>404</v>
      </c>
      <c r="B15" t="s">
        <v>48</v>
      </c>
      <c r="C15" t="s">
        <v>84</v>
      </c>
      <c r="D15">
        <v>1</v>
      </c>
      <c r="E15">
        <v>12</v>
      </c>
      <c r="F15">
        <v>16</v>
      </c>
      <c r="G15">
        <v>0.32</v>
      </c>
      <c r="H15">
        <v>5</v>
      </c>
      <c r="I15">
        <f t="shared" si="0"/>
        <v>15.63</v>
      </c>
      <c r="J15" t="str" cm="1">
        <f t="array" ref="J15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16" spans="1:10" x14ac:dyDescent="0.25">
      <c r="A16" t="s">
        <v>404</v>
      </c>
      <c r="B16" t="s">
        <v>48</v>
      </c>
      <c r="C16" t="s">
        <v>211</v>
      </c>
      <c r="D16">
        <v>7</v>
      </c>
      <c r="E16">
        <v>82</v>
      </c>
      <c r="F16">
        <v>1165</v>
      </c>
      <c r="G16">
        <v>23.78</v>
      </c>
      <c r="H16">
        <v>320</v>
      </c>
      <c r="I16">
        <f t="shared" si="0"/>
        <v>13.46</v>
      </c>
      <c r="J16" t="str" cm="1">
        <f t="array" ref="J16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17" spans="1:10" x14ac:dyDescent="0.25">
      <c r="A17" t="s">
        <v>404</v>
      </c>
      <c r="B17" t="s">
        <v>48</v>
      </c>
      <c r="C17" t="s">
        <v>222</v>
      </c>
      <c r="D17">
        <v>5</v>
      </c>
      <c r="E17">
        <v>61</v>
      </c>
      <c r="F17">
        <v>693</v>
      </c>
      <c r="G17">
        <v>14.14</v>
      </c>
      <c r="H17">
        <v>190</v>
      </c>
      <c r="I17">
        <f t="shared" si="0"/>
        <v>13.44</v>
      </c>
      <c r="J17" t="str" cm="1">
        <f t="array" ref="J17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18" spans="1:10" x14ac:dyDescent="0.25">
      <c r="A18" t="s">
        <v>404</v>
      </c>
      <c r="B18" t="s">
        <v>48</v>
      </c>
      <c r="C18" t="s">
        <v>51</v>
      </c>
      <c r="D18">
        <v>492</v>
      </c>
      <c r="E18">
        <v>6558</v>
      </c>
      <c r="F18">
        <v>126105</v>
      </c>
      <c r="G18">
        <v>3543.91</v>
      </c>
      <c r="H18">
        <v>40867</v>
      </c>
      <c r="I18">
        <f t="shared" si="0"/>
        <v>11.53</v>
      </c>
      <c r="J18" t="str" cm="1">
        <f t="array" ref="J18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19" spans="1:10" x14ac:dyDescent="0.25">
      <c r="A19" t="s">
        <v>404</v>
      </c>
      <c r="B19" t="s">
        <v>48</v>
      </c>
      <c r="C19" t="s">
        <v>64</v>
      </c>
      <c r="D19">
        <v>44</v>
      </c>
      <c r="E19">
        <v>578</v>
      </c>
      <c r="F19">
        <v>17677</v>
      </c>
      <c r="G19">
        <v>503.35</v>
      </c>
      <c r="H19">
        <v>5790</v>
      </c>
      <c r="I19">
        <f t="shared" si="0"/>
        <v>11.5</v>
      </c>
      <c r="J19" t="str" cm="1">
        <f t="array" ref="J19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20" spans="1:10" x14ac:dyDescent="0.25">
      <c r="A20" t="s">
        <v>404</v>
      </c>
      <c r="B20" t="s">
        <v>68</v>
      </c>
      <c r="C20" t="s">
        <v>151</v>
      </c>
      <c r="D20">
        <v>4</v>
      </c>
      <c r="E20">
        <v>50</v>
      </c>
      <c r="F20">
        <v>2600</v>
      </c>
      <c r="G20">
        <v>53.06</v>
      </c>
      <c r="H20">
        <v>569</v>
      </c>
      <c r="I20">
        <f t="shared" si="0"/>
        <v>10.72</v>
      </c>
      <c r="J20" t="str" cm="1">
        <f t="array" ref="J20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21" spans="1:10" x14ac:dyDescent="0.25">
      <c r="A21" t="s">
        <v>404</v>
      </c>
      <c r="B21" t="s">
        <v>68</v>
      </c>
      <c r="C21" t="s">
        <v>171</v>
      </c>
      <c r="D21">
        <v>4</v>
      </c>
      <c r="E21">
        <v>50</v>
      </c>
      <c r="F21">
        <v>2302</v>
      </c>
      <c r="G21">
        <v>46.97</v>
      </c>
      <c r="H21">
        <v>504</v>
      </c>
      <c r="I21">
        <f t="shared" si="0"/>
        <v>10.73</v>
      </c>
      <c r="J21" t="str" cm="1">
        <f t="array" ref="J21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22" spans="1:10" x14ac:dyDescent="0.25">
      <c r="A22" t="s">
        <v>404</v>
      </c>
      <c r="B22" t="s">
        <v>68</v>
      </c>
      <c r="C22" t="s">
        <v>216</v>
      </c>
      <c r="D22">
        <v>4</v>
      </c>
      <c r="E22">
        <v>46</v>
      </c>
      <c r="F22">
        <v>948</v>
      </c>
      <c r="G22">
        <v>19.350000000000001</v>
      </c>
      <c r="H22">
        <v>208</v>
      </c>
      <c r="I22">
        <f t="shared" si="0"/>
        <v>10.75</v>
      </c>
      <c r="J22" t="str" cm="1">
        <f t="array" ref="J22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23" spans="1:10" x14ac:dyDescent="0.25">
      <c r="A23" t="s">
        <v>404</v>
      </c>
      <c r="B23" t="s">
        <v>68</v>
      </c>
      <c r="C23" t="s">
        <v>125</v>
      </c>
      <c r="D23">
        <v>1</v>
      </c>
      <c r="E23">
        <v>14</v>
      </c>
      <c r="F23">
        <v>1826</v>
      </c>
      <c r="G23">
        <v>37.270000000000003</v>
      </c>
      <c r="H23">
        <v>400</v>
      </c>
      <c r="I23">
        <f t="shared" si="0"/>
        <v>10.73</v>
      </c>
      <c r="J23" t="str" cm="1">
        <f t="array" ref="J23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24" spans="1:10" x14ac:dyDescent="0.25">
      <c r="A24" t="s">
        <v>404</v>
      </c>
      <c r="B24" t="s">
        <v>68</v>
      </c>
      <c r="C24" t="s">
        <v>141</v>
      </c>
      <c r="D24">
        <v>3</v>
      </c>
      <c r="E24">
        <v>35</v>
      </c>
      <c r="F24">
        <v>2119</v>
      </c>
      <c r="G24">
        <v>43.24</v>
      </c>
      <c r="H24">
        <v>464</v>
      </c>
      <c r="I24">
        <f t="shared" si="0"/>
        <v>10.73</v>
      </c>
      <c r="J24" t="str" cm="1">
        <f t="array" ref="J24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25" spans="1:10" x14ac:dyDescent="0.25">
      <c r="A25" t="s">
        <v>404</v>
      </c>
      <c r="B25" t="s">
        <v>68</v>
      </c>
      <c r="C25" t="s">
        <v>71</v>
      </c>
      <c r="D25">
        <v>2</v>
      </c>
      <c r="E25">
        <v>26</v>
      </c>
      <c r="F25">
        <v>5985</v>
      </c>
      <c r="G25">
        <v>122.14</v>
      </c>
      <c r="H25">
        <v>1310</v>
      </c>
      <c r="I25">
        <f t="shared" si="0"/>
        <v>10.73</v>
      </c>
      <c r="J25" t="str" cm="1">
        <f t="array" ref="J25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26" spans="1:10" x14ac:dyDescent="0.25">
      <c r="A26" t="s">
        <v>404</v>
      </c>
      <c r="B26" t="s">
        <v>68</v>
      </c>
      <c r="C26" t="s">
        <v>243</v>
      </c>
      <c r="D26">
        <v>3</v>
      </c>
      <c r="E26">
        <v>34</v>
      </c>
      <c r="F26">
        <v>391</v>
      </c>
      <c r="G26">
        <v>7.98</v>
      </c>
      <c r="H26">
        <v>86</v>
      </c>
      <c r="I26">
        <f t="shared" si="0"/>
        <v>10.78</v>
      </c>
      <c r="J26" t="str" cm="1">
        <f t="array" ref="J26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27" spans="1:10" x14ac:dyDescent="0.25">
      <c r="A27" t="s">
        <v>404</v>
      </c>
      <c r="B27" t="s">
        <v>48</v>
      </c>
      <c r="C27" t="s">
        <v>185</v>
      </c>
      <c r="D27">
        <v>54</v>
      </c>
      <c r="E27">
        <v>746</v>
      </c>
      <c r="F27">
        <v>3276</v>
      </c>
      <c r="G27">
        <v>101.66</v>
      </c>
      <c r="H27">
        <v>1058</v>
      </c>
      <c r="I27">
        <f t="shared" si="0"/>
        <v>10.41</v>
      </c>
      <c r="J27" t="str" cm="1">
        <f t="array" ref="J27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28" spans="1:10" x14ac:dyDescent="0.25">
      <c r="A28" t="s">
        <v>404</v>
      </c>
      <c r="B28" t="s">
        <v>48</v>
      </c>
      <c r="C28" t="s">
        <v>129</v>
      </c>
      <c r="D28">
        <v>54</v>
      </c>
      <c r="E28">
        <v>771</v>
      </c>
      <c r="F28">
        <v>2107</v>
      </c>
      <c r="G28">
        <v>72.319999999999993</v>
      </c>
      <c r="H28">
        <v>668</v>
      </c>
      <c r="I28">
        <f t="shared" si="0"/>
        <v>9.24</v>
      </c>
      <c r="J28" t="str" cm="1">
        <f t="array" ref="J28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29" spans="1:10" x14ac:dyDescent="0.25">
      <c r="A29" t="s">
        <v>404</v>
      </c>
      <c r="B29" t="s">
        <v>48</v>
      </c>
      <c r="C29" t="s">
        <v>49</v>
      </c>
      <c r="D29">
        <v>60</v>
      </c>
      <c r="E29">
        <v>870</v>
      </c>
      <c r="F29">
        <v>57066</v>
      </c>
      <c r="G29">
        <v>1999.04</v>
      </c>
      <c r="H29">
        <v>18021</v>
      </c>
      <c r="I29">
        <f t="shared" si="0"/>
        <v>9.01</v>
      </c>
      <c r="J29" t="str" cm="1">
        <f t="array" ref="J29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30" spans="1:10" x14ac:dyDescent="0.25">
      <c r="A30" t="s">
        <v>404</v>
      </c>
      <c r="B30" t="s">
        <v>75</v>
      </c>
      <c r="C30" t="s">
        <v>219</v>
      </c>
      <c r="D30">
        <v>87</v>
      </c>
      <c r="E30">
        <v>1306</v>
      </c>
      <c r="F30">
        <v>6491</v>
      </c>
      <c r="G30">
        <v>232.03</v>
      </c>
      <c r="H30">
        <v>2089</v>
      </c>
      <c r="I30">
        <f t="shared" si="0"/>
        <v>9</v>
      </c>
      <c r="J30" t="str" cm="1">
        <f t="array" ref="J30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31" spans="1:10" x14ac:dyDescent="0.25">
      <c r="A31" t="s">
        <v>404</v>
      </c>
      <c r="B31" t="s">
        <v>68</v>
      </c>
      <c r="C31" t="s">
        <v>149</v>
      </c>
      <c r="D31">
        <v>14</v>
      </c>
      <c r="E31">
        <v>178</v>
      </c>
      <c r="F31">
        <v>5275</v>
      </c>
      <c r="G31">
        <v>131.65</v>
      </c>
      <c r="H31">
        <v>1179</v>
      </c>
      <c r="I31">
        <f t="shared" si="0"/>
        <v>8.9600000000000009</v>
      </c>
      <c r="J31" t="str" cm="1">
        <f t="array" ref="J31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32" spans="1:10" x14ac:dyDescent="0.25">
      <c r="A32" t="s">
        <v>404</v>
      </c>
      <c r="B32" t="s">
        <v>75</v>
      </c>
      <c r="C32" t="s">
        <v>80</v>
      </c>
      <c r="D32">
        <v>170</v>
      </c>
      <c r="E32">
        <v>2534</v>
      </c>
      <c r="F32">
        <v>87689</v>
      </c>
      <c r="G32">
        <v>3173.03</v>
      </c>
      <c r="H32">
        <v>27509</v>
      </c>
      <c r="I32">
        <f t="shared" si="0"/>
        <v>8.67</v>
      </c>
      <c r="J32" t="str" cm="1">
        <f t="array" ref="J32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33" spans="1:10" x14ac:dyDescent="0.25">
      <c r="A33" t="s">
        <v>404</v>
      </c>
      <c r="B33" t="s">
        <v>75</v>
      </c>
      <c r="C33" t="s">
        <v>99</v>
      </c>
      <c r="D33">
        <v>65</v>
      </c>
      <c r="E33">
        <v>867</v>
      </c>
      <c r="F33">
        <v>35895</v>
      </c>
      <c r="G33">
        <v>1121.43</v>
      </c>
      <c r="H33">
        <v>9076</v>
      </c>
      <c r="I33">
        <f t="shared" si="0"/>
        <v>8.09</v>
      </c>
      <c r="J33" t="str" cm="1">
        <f t="array" ref="J33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34" spans="1:10" x14ac:dyDescent="0.25">
      <c r="A34" t="s">
        <v>404</v>
      </c>
      <c r="B34" t="s">
        <v>75</v>
      </c>
      <c r="C34" t="s">
        <v>76</v>
      </c>
      <c r="D34">
        <v>165</v>
      </c>
      <c r="E34">
        <v>2484</v>
      </c>
      <c r="F34">
        <v>93477</v>
      </c>
      <c r="G34">
        <v>3548.2</v>
      </c>
      <c r="H34">
        <v>28674</v>
      </c>
      <c r="I34">
        <f t="shared" si="0"/>
        <v>8.08</v>
      </c>
      <c r="J34" t="str" cm="1">
        <f t="array" ref="J34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35" spans="1:10" x14ac:dyDescent="0.25">
      <c r="A35" t="s">
        <v>404</v>
      </c>
      <c r="B35" t="s">
        <v>75</v>
      </c>
      <c r="C35" t="s">
        <v>102</v>
      </c>
      <c r="D35">
        <v>21</v>
      </c>
      <c r="E35">
        <v>282</v>
      </c>
      <c r="F35">
        <v>13991</v>
      </c>
      <c r="G35">
        <v>444.61</v>
      </c>
      <c r="H35">
        <v>3523</v>
      </c>
      <c r="I35">
        <f t="shared" si="0"/>
        <v>7.92</v>
      </c>
      <c r="J35" t="str" cm="1">
        <f t="array" ref="J35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36" spans="1:10" x14ac:dyDescent="0.25">
      <c r="A36" t="s">
        <v>404</v>
      </c>
      <c r="B36" t="s">
        <v>68</v>
      </c>
      <c r="C36" t="s">
        <v>69</v>
      </c>
      <c r="D36">
        <v>12</v>
      </c>
      <c r="E36">
        <v>150</v>
      </c>
      <c r="F36">
        <v>21622</v>
      </c>
      <c r="G36">
        <v>595.42999999999995</v>
      </c>
      <c r="H36">
        <v>4404</v>
      </c>
      <c r="I36">
        <f t="shared" si="0"/>
        <v>7.4</v>
      </c>
      <c r="J36" t="str" cm="1">
        <f t="array" ref="J36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37" spans="1:10" x14ac:dyDescent="0.25">
      <c r="A37" t="s">
        <v>404</v>
      </c>
      <c r="B37" t="s">
        <v>75</v>
      </c>
      <c r="C37" t="s">
        <v>113</v>
      </c>
      <c r="D37">
        <v>252</v>
      </c>
      <c r="E37">
        <v>3601</v>
      </c>
      <c r="F37">
        <v>63584</v>
      </c>
      <c r="G37">
        <v>2247.38</v>
      </c>
      <c r="H37">
        <v>16493</v>
      </c>
      <c r="I37">
        <f t="shared" si="0"/>
        <v>7.34</v>
      </c>
      <c r="J37" t="str" cm="1">
        <f t="array" ref="J37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38" spans="1:10" x14ac:dyDescent="0.25">
      <c r="A38" t="s">
        <v>404</v>
      </c>
      <c r="B38" t="s">
        <v>68</v>
      </c>
      <c r="C38" t="s">
        <v>176</v>
      </c>
      <c r="D38">
        <v>9</v>
      </c>
      <c r="E38">
        <v>118</v>
      </c>
      <c r="F38">
        <v>6706</v>
      </c>
      <c r="G38">
        <v>193.69</v>
      </c>
      <c r="H38">
        <v>1347</v>
      </c>
      <c r="I38">
        <f t="shared" si="0"/>
        <v>6.95</v>
      </c>
      <c r="J38" t="str" cm="1">
        <f t="array" ref="J38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Strategic Leak (Wasted Margin)</v>
      </c>
    </row>
    <row r="39" spans="1:10" x14ac:dyDescent="0.25">
      <c r="A39" t="s">
        <v>404</v>
      </c>
      <c r="B39" t="s">
        <v>68</v>
      </c>
      <c r="C39" t="s">
        <v>86</v>
      </c>
      <c r="D39">
        <v>17</v>
      </c>
      <c r="E39">
        <v>205</v>
      </c>
      <c r="F39">
        <v>56032</v>
      </c>
      <c r="G39">
        <v>1143.51</v>
      </c>
      <c r="H39">
        <v>4563</v>
      </c>
      <c r="I39">
        <f t="shared" si="0"/>
        <v>3.99</v>
      </c>
      <c r="J39" t="str" cm="1">
        <f t="array" ref="J39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Growth Driver</v>
      </c>
    </row>
    <row r="40" spans="1:10" x14ac:dyDescent="0.25">
      <c r="A40" t="s">
        <v>405</v>
      </c>
      <c r="B40" t="s">
        <v>75</v>
      </c>
      <c r="C40" t="s">
        <v>219</v>
      </c>
      <c r="D40">
        <v>4</v>
      </c>
      <c r="E40">
        <v>113</v>
      </c>
      <c r="F40">
        <v>470</v>
      </c>
      <c r="G40">
        <v>52.27</v>
      </c>
      <c r="H40">
        <v>89</v>
      </c>
      <c r="I40">
        <f t="shared" si="0"/>
        <v>1.7</v>
      </c>
      <c r="J40" t="str" cm="1">
        <f t="array" ref="J40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Growth Driver</v>
      </c>
    </row>
    <row r="41" spans="1:10" x14ac:dyDescent="0.25">
      <c r="A41" t="s">
        <v>404</v>
      </c>
      <c r="B41" t="s">
        <v>4</v>
      </c>
      <c r="C41" t="s">
        <v>5</v>
      </c>
      <c r="D41">
        <v>112</v>
      </c>
      <c r="E41">
        <v>1377</v>
      </c>
      <c r="F41">
        <v>1715784</v>
      </c>
      <c r="G41">
        <v>43484.21</v>
      </c>
      <c r="H41">
        <v>73153</v>
      </c>
      <c r="I41">
        <f t="shared" si="0"/>
        <v>1.68</v>
      </c>
      <c r="J41" t="str" cm="1">
        <f t="array" ref="J41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Growth Driver</v>
      </c>
    </row>
    <row r="42" spans="1:10" x14ac:dyDescent="0.25">
      <c r="A42" t="s">
        <v>405</v>
      </c>
      <c r="B42" t="s">
        <v>48</v>
      </c>
      <c r="C42" t="s">
        <v>129</v>
      </c>
      <c r="D42">
        <v>1</v>
      </c>
      <c r="E42">
        <v>26</v>
      </c>
      <c r="F42">
        <v>58</v>
      </c>
      <c r="G42">
        <v>6.49</v>
      </c>
      <c r="H42">
        <v>10</v>
      </c>
      <c r="I42">
        <f t="shared" si="0"/>
        <v>1.54</v>
      </c>
      <c r="J42" t="str" cm="1">
        <f t="array" ref="J42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Growth Driver</v>
      </c>
    </row>
    <row r="43" spans="1:10" x14ac:dyDescent="0.25">
      <c r="A43" t="s">
        <v>405</v>
      </c>
      <c r="B43" t="s">
        <v>48</v>
      </c>
      <c r="C43" t="s">
        <v>185</v>
      </c>
      <c r="D43">
        <v>1</v>
      </c>
      <c r="E43">
        <v>25</v>
      </c>
      <c r="F43">
        <v>89</v>
      </c>
      <c r="G43">
        <v>9.94</v>
      </c>
      <c r="H43">
        <v>15</v>
      </c>
      <c r="I43">
        <f t="shared" si="0"/>
        <v>1.51</v>
      </c>
      <c r="J43" t="str" cm="1">
        <f t="array" ref="J43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Growth Driver</v>
      </c>
    </row>
    <row r="44" spans="1:10" x14ac:dyDescent="0.25">
      <c r="A44" t="s">
        <v>405</v>
      </c>
      <c r="B44" t="s">
        <v>75</v>
      </c>
      <c r="C44" t="s">
        <v>80</v>
      </c>
      <c r="D44">
        <v>10</v>
      </c>
      <c r="E44">
        <v>278</v>
      </c>
      <c r="F44">
        <v>7944</v>
      </c>
      <c r="G44">
        <v>882.65</v>
      </c>
      <c r="H44">
        <v>1342</v>
      </c>
      <c r="I44">
        <f t="shared" si="0"/>
        <v>1.52</v>
      </c>
      <c r="J44" t="str" cm="1">
        <f t="array" ref="J44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Growth Driver</v>
      </c>
    </row>
    <row r="45" spans="1:10" x14ac:dyDescent="0.25">
      <c r="A45" t="s">
        <v>405</v>
      </c>
      <c r="B45" t="s">
        <v>48</v>
      </c>
      <c r="C45" t="s">
        <v>49</v>
      </c>
      <c r="D45">
        <v>2</v>
      </c>
      <c r="E45">
        <v>57</v>
      </c>
      <c r="F45">
        <v>3078</v>
      </c>
      <c r="G45">
        <v>342</v>
      </c>
      <c r="H45">
        <v>520</v>
      </c>
      <c r="I45">
        <f t="shared" si="0"/>
        <v>1.52</v>
      </c>
      <c r="J45" t="str" cm="1">
        <f t="array" ref="J45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Growth Driver</v>
      </c>
    </row>
    <row r="46" spans="1:10" x14ac:dyDescent="0.25">
      <c r="A46" t="s">
        <v>405</v>
      </c>
      <c r="B46" t="s">
        <v>75</v>
      </c>
      <c r="C46" t="s">
        <v>76</v>
      </c>
      <c r="D46">
        <v>31</v>
      </c>
      <c r="E46">
        <v>919</v>
      </c>
      <c r="F46">
        <v>28751</v>
      </c>
      <c r="G46">
        <v>3266.26</v>
      </c>
      <c r="H46">
        <v>4695</v>
      </c>
      <c r="I46">
        <f t="shared" si="0"/>
        <v>1.44</v>
      </c>
      <c r="J46" t="str" cm="1">
        <f t="array" ref="J46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Growth Driver</v>
      </c>
    </row>
    <row r="47" spans="1:10" x14ac:dyDescent="0.25">
      <c r="A47" t="s">
        <v>405</v>
      </c>
      <c r="B47" t="s">
        <v>75</v>
      </c>
      <c r="C47" t="s">
        <v>99</v>
      </c>
      <c r="D47">
        <v>1</v>
      </c>
      <c r="E47">
        <v>28</v>
      </c>
      <c r="F47">
        <v>945</v>
      </c>
      <c r="G47">
        <v>104.99</v>
      </c>
      <c r="H47">
        <v>79</v>
      </c>
      <c r="I47">
        <f t="shared" si="0"/>
        <v>0.75</v>
      </c>
      <c r="J47" t="str" cm="1">
        <f t="array" ref="J47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Inefficient Promotion</v>
      </c>
    </row>
    <row r="48" spans="1:10" x14ac:dyDescent="0.25">
      <c r="A48" t="s">
        <v>405</v>
      </c>
      <c r="B48" t="s">
        <v>75</v>
      </c>
      <c r="C48" t="s">
        <v>113</v>
      </c>
      <c r="D48">
        <v>25</v>
      </c>
      <c r="E48">
        <v>770</v>
      </c>
      <c r="F48">
        <v>13051</v>
      </c>
      <c r="G48">
        <v>1491.87</v>
      </c>
      <c r="H48">
        <v>984</v>
      </c>
      <c r="I48">
        <f t="shared" si="0"/>
        <v>0.66</v>
      </c>
      <c r="J48" t="str" cm="1">
        <f t="array" ref="J48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Inefficient Promotion</v>
      </c>
    </row>
    <row r="49" spans="1:10" x14ac:dyDescent="0.25">
      <c r="A49" t="s">
        <v>405</v>
      </c>
      <c r="B49" t="s">
        <v>48</v>
      </c>
      <c r="C49" t="s">
        <v>51</v>
      </c>
      <c r="D49">
        <v>546</v>
      </c>
      <c r="E49">
        <v>3516</v>
      </c>
      <c r="F49">
        <v>49649</v>
      </c>
      <c r="G49">
        <v>7301.06</v>
      </c>
      <c r="H49">
        <v>3950</v>
      </c>
      <c r="I49">
        <f t="shared" si="0"/>
        <v>0.54</v>
      </c>
      <c r="J49" t="str" cm="1">
        <f t="array" ref="J49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Inefficient Promotion</v>
      </c>
    </row>
    <row r="50" spans="1:10" x14ac:dyDescent="0.25">
      <c r="A50" t="s">
        <v>404</v>
      </c>
      <c r="B50" t="s">
        <v>68</v>
      </c>
      <c r="C50" t="s">
        <v>168</v>
      </c>
      <c r="D50">
        <v>22</v>
      </c>
      <c r="E50">
        <v>256</v>
      </c>
      <c r="F50">
        <v>55076</v>
      </c>
      <c r="G50">
        <v>1424.44</v>
      </c>
      <c r="H50">
        <v>-211</v>
      </c>
      <c r="I50">
        <f t="shared" si="0"/>
        <v>-0.15</v>
      </c>
      <c r="J50" t="str" cm="1">
        <f t="array" ref="J50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Erosion Zone (Immediate Stop)</v>
      </c>
    </row>
    <row r="51" spans="1:10" x14ac:dyDescent="0.25">
      <c r="A51" t="s">
        <v>404</v>
      </c>
      <c r="B51" t="s">
        <v>68</v>
      </c>
      <c r="C51" t="s">
        <v>280</v>
      </c>
      <c r="D51">
        <v>13</v>
      </c>
      <c r="E51">
        <v>179</v>
      </c>
      <c r="F51">
        <v>88528</v>
      </c>
      <c r="G51">
        <v>2606.36</v>
      </c>
      <c r="H51">
        <v>-7127</v>
      </c>
      <c r="I51">
        <f t="shared" si="0"/>
        <v>-2.73</v>
      </c>
      <c r="J51" t="str" cm="1">
        <f t="array" ref="J51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Erosion Zone (Immediate Stop)</v>
      </c>
    </row>
    <row r="52" spans="1:10" x14ac:dyDescent="0.25">
      <c r="A52" t="s">
        <v>404</v>
      </c>
      <c r="B52" t="s">
        <v>4</v>
      </c>
      <c r="C52" t="s">
        <v>15</v>
      </c>
      <c r="D52">
        <v>307</v>
      </c>
      <c r="E52">
        <v>4116</v>
      </c>
      <c r="F52">
        <v>2258109</v>
      </c>
      <c r="G52">
        <v>65115.66</v>
      </c>
      <c r="H52">
        <v>-196556</v>
      </c>
      <c r="I52">
        <f t="shared" si="0"/>
        <v>-3.02</v>
      </c>
      <c r="J52" t="str" cm="1">
        <f t="array" ref="J52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Erosion Zone (Immediate Stop)</v>
      </c>
    </row>
    <row r="53" spans="1:10" x14ac:dyDescent="0.25">
      <c r="A53" t="s">
        <v>405</v>
      </c>
      <c r="B53" t="s">
        <v>4</v>
      </c>
      <c r="C53" t="s">
        <v>25</v>
      </c>
      <c r="D53">
        <v>505</v>
      </c>
      <c r="E53">
        <v>1587</v>
      </c>
      <c r="F53">
        <v>471138</v>
      </c>
      <c r="G53">
        <v>81318.850000000006</v>
      </c>
      <c r="H53">
        <v>-287708</v>
      </c>
      <c r="I53">
        <f t="shared" si="0"/>
        <v>-3.54</v>
      </c>
      <c r="J53" t="str" cm="1">
        <f t="array" ref="J53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Erosion Zone (Immediate Stop)</v>
      </c>
    </row>
    <row r="54" spans="1:10" x14ac:dyDescent="0.25">
      <c r="A54" t="s">
        <v>405</v>
      </c>
      <c r="B54" t="s">
        <v>4</v>
      </c>
      <c r="C54" t="s">
        <v>15</v>
      </c>
      <c r="D54">
        <v>2</v>
      </c>
      <c r="E54">
        <v>55</v>
      </c>
      <c r="F54">
        <v>42100</v>
      </c>
      <c r="G54">
        <v>4677.72</v>
      </c>
      <c r="H54">
        <v>-17439</v>
      </c>
      <c r="I54">
        <f t="shared" si="0"/>
        <v>-3.73</v>
      </c>
      <c r="J54" t="str" cm="1">
        <f t="array" ref="J54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Erosion Zone (Immediate Stop)</v>
      </c>
    </row>
    <row r="55" spans="1:10" x14ac:dyDescent="0.25">
      <c r="A55" t="s">
        <v>406</v>
      </c>
      <c r="B55" t="s">
        <v>4</v>
      </c>
      <c r="C55" t="s">
        <v>25</v>
      </c>
      <c r="D55">
        <v>231</v>
      </c>
      <c r="E55">
        <v>762</v>
      </c>
      <c r="F55">
        <v>581332</v>
      </c>
      <c r="G55">
        <v>145332.91</v>
      </c>
      <c r="H55">
        <v>-547905</v>
      </c>
      <c r="I55">
        <f t="shared" si="0"/>
        <v>-3.77</v>
      </c>
      <c r="J55" t="str" cm="1">
        <f t="array" ref="J55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Erosion Zone (Immediate Stop)</v>
      </c>
    </row>
    <row r="56" spans="1:10" x14ac:dyDescent="0.25">
      <c r="A56" t="s">
        <v>406</v>
      </c>
      <c r="B56" t="s">
        <v>4</v>
      </c>
      <c r="C56" t="s">
        <v>15</v>
      </c>
      <c r="D56">
        <v>122</v>
      </c>
      <c r="E56">
        <v>608</v>
      </c>
      <c r="F56">
        <v>99972</v>
      </c>
      <c r="G56">
        <v>42845.21</v>
      </c>
      <c r="H56">
        <v>-173583</v>
      </c>
      <c r="I56">
        <f t="shared" si="0"/>
        <v>-4.05</v>
      </c>
      <c r="J56" t="str" cm="1">
        <f t="array" ref="J56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Erosion Zone (Immediate Stop)</v>
      </c>
    </row>
    <row r="57" spans="1:10" x14ac:dyDescent="0.25">
      <c r="A57" t="s">
        <v>404</v>
      </c>
      <c r="B57" t="s">
        <v>4</v>
      </c>
      <c r="C57" t="s">
        <v>25</v>
      </c>
      <c r="D57">
        <v>55</v>
      </c>
      <c r="E57">
        <v>714</v>
      </c>
      <c r="F57">
        <v>727255</v>
      </c>
      <c r="G57">
        <v>22130.63</v>
      </c>
      <c r="H57">
        <v>-89798</v>
      </c>
      <c r="I57">
        <f t="shared" si="0"/>
        <v>-4.0599999999999996</v>
      </c>
      <c r="J57" t="str" cm="1">
        <f t="array" ref="J57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Erosion Zone (Immediate Stop)</v>
      </c>
    </row>
    <row r="58" spans="1:10" x14ac:dyDescent="0.25">
      <c r="A58" t="s">
        <v>405</v>
      </c>
      <c r="B58" t="s">
        <v>75</v>
      </c>
      <c r="C58" t="s">
        <v>314</v>
      </c>
      <c r="D58">
        <v>6</v>
      </c>
      <c r="E58">
        <v>156</v>
      </c>
      <c r="F58">
        <v>619</v>
      </c>
      <c r="G58">
        <v>68.83</v>
      </c>
      <c r="H58">
        <v>-309</v>
      </c>
      <c r="I58">
        <f t="shared" si="0"/>
        <v>-4.49</v>
      </c>
      <c r="J58" t="str" cm="1">
        <f t="array" ref="J58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Erosion Zone (Immediate Stop)</v>
      </c>
    </row>
    <row r="59" spans="1:10" x14ac:dyDescent="0.25">
      <c r="A59" t="s">
        <v>406</v>
      </c>
      <c r="B59" t="s">
        <v>4</v>
      </c>
      <c r="C59" t="s">
        <v>5</v>
      </c>
      <c r="D59">
        <v>137</v>
      </c>
      <c r="E59">
        <v>456</v>
      </c>
      <c r="F59">
        <v>250928</v>
      </c>
      <c r="G59">
        <v>135114.91</v>
      </c>
      <c r="H59">
        <v>-617514</v>
      </c>
      <c r="I59">
        <f t="shared" si="0"/>
        <v>-4.57</v>
      </c>
      <c r="J59" t="str" cm="1">
        <f t="array" ref="J59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Erosion Zone (Immediate Stop)</v>
      </c>
    </row>
    <row r="60" spans="1:10" x14ac:dyDescent="0.25">
      <c r="A60" t="s">
        <v>405</v>
      </c>
      <c r="B60" t="s">
        <v>75</v>
      </c>
      <c r="C60" t="s">
        <v>203</v>
      </c>
      <c r="D60">
        <v>4</v>
      </c>
      <c r="E60">
        <v>121</v>
      </c>
      <c r="F60">
        <v>2684</v>
      </c>
      <c r="G60">
        <v>298.20999999999998</v>
      </c>
      <c r="H60">
        <v>-1533</v>
      </c>
      <c r="I60">
        <f t="shared" si="0"/>
        <v>-5.14</v>
      </c>
      <c r="J60" t="str" cm="1">
        <f t="array" ref="J60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Erosion Zone (Immediate Stop)</v>
      </c>
    </row>
    <row r="61" spans="1:10" x14ac:dyDescent="0.25">
      <c r="A61" t="s">
        <v>407</v>
      </c>
      <c r="B61" t="s">
        <v>4</v>
      </c>
      <c r="C61" t="s">
        <v>5</v>
      </c>
      <c r="D61">
        <v>169</v>
      </c>
      <c r="E61">
        <v>382</v>
      </c>
      <c r="F61">
        <v>25899</v>
      </c>
      <c r="G61">
        <v>17266.09</v>
      </c>
      <c r="H61">
        <v>-91840</v>
      </c>
      <c r="I61">
        <f t="shared" si="0"/>
        <v>-5.32</v>
      </c>
      <c r="J61" t="str" cm="1">
        <f t="array" ref="J61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Erosion Zone (Immediate Stop)</v>
      </c>
    </row>
    <row r="62" spans="1:10" x14ac:dyDescent="0.25">
      <c r="A62" t="s">
        <v>404</v>
      </c>
      <c r="B62" t="s">
        <v>75</v>
      </c>
      <c r="C62" t="s">
        <v>314</v>
      </c>
      <c r="D62">
        <v>330</v>
      </c>
      <c r="E62">
        <v>4704</v>
      </c>
      <c r="F62">
        <v>22848</v>
      </c>
      <c r="G62">
        <v>779.68</v>
      </c>
      <c r="H62">
        <v>-5152</v>
      </c>
      <c r="I62">
        <f t="shared" si="0"/>
        <v>-6.61</v>
      </c>
      <c r="J62" t="str" cm="1">
        <f t="array" ref="J62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Erosion Zone (Immediate Stop)</v>
      </c>
    </row>
    <row r="63" spans="1:10" x14ac:dyDescent="0.25">
      <c r="A63" t="s">
        <v>404</v>
      </c>
      <c r="B63" t="s">
        <v>75</v>
      </c>
      <c r="C63" t="s">
        <v>203</v>
      </c>
      <c r="D63">
        <v>630</v>
      </c>
      <c r="E63">
        <v>8663</v>
      </c>
      <c r="F63">
        <v>241263</v>
      </c>
      <c r="G63">
        <v>7755.3</v>
      </c>
      <c r="H63">
        <v>-66184</v>
      </c>
      <c r="I63">
        <f t="shared" si="0"/>
        <v>-8.5299999999999994</v>
      </c>
      <c r="J63" t="str" cm="1">
        <f t="array" ref="J63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Erosion Zone (Immediate Stop)</v>
      </c>
    </row>
    <row r="64" spans="1:10" x14ac:dyDescent="0.25">
      <c r="A64" t="s">
        <v>403</v>
      </c>
      <c r="B64" t="s">
        <v>68</v>
      </c>
      <c r="C64" t="s">
        <v>168</v>
      </c>
      <c r="D64">
        <v>10865</v>
      </c>
      <c r="E64">
        <v>26878</v>
      </c>
      <c r="F64">
        <v>8952832</v>
      </c>
      <c r="G64">
        <v>0</v>
      </c>
      <c r="H64">
        <v>331788</v>
      </c>
      <c r="I64">
        <f t="shared" si="0"/>
        <v>0</v>
      </c>
      <c r="J64" t="str" cm="1">
        <f t="array" ref="J64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65" spans="1:10" x14ac:dyDescent="0.25">
      <c r="A65" t="s">
        <v>403</v>
      </c>
      <c r="B65" t="s">
        <v>68</v>
      </c>
      <c r="C65" t="s">
        <v>176</v>
      </c>
      <c r="D65">
        <v>257</v>
      </c>
      <c r="E65">
        <v>891</v>
      </c>
      <c r="F65">
        <v>54236</v>
      </c>
      <c r="G65">
        <v>0</v>
      </c>
      <c r="H65">
        <v>14101</v>
      </c>
      <c r="I65">
        <f t="shared" si="0"/>
        <v>0</v>
      </c>
      <c r="J65" t="str" cm="1">
        <f t="array" ref="J65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66" spans="1:10" x14ac:dyDescent="0.25">
      <c r="A66" t="s">
        <v>403</v>
      </c>
      <c r="B66" t="s">
        <v>48</v>
      </c>
      <c r="C66" t="s">
        <v>185</v>
      </c>
      <c r="D66">
        <v>1272</v>
      </c>
      <c r="E66">
        <v>2548</v>
      </c>
      <c r="F66">
        <v>15041</v>
      </c>
      <c r="G66">
        <v>0</v>
      </c>
      <c r="H66">
        <v>7465</v>
      </c>
      <c r="I66">
        <f t="shared" si="0"/>
        <v>0</v>
      </c>
      <c r="J66" t="str" cm="1">
        <f t="array" ref="J66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67" spans="1:10" x14ac:dyDescent="0.25">
      <c r="A67" t="s">
        <v>403</v>
      </c>
      <c r="B67" t="s">
        <v>68</v>
      </c>
      <c r="C67" t="s">
        <v>125</v>
      </c>
      <c r="D67">
        <v>199</v>
      </c>
      <c r="E67">
        <v>620</v>
      </c>
      <c r="F67">
        <v>76106</v>
      </c>
      <c r="G67">
        <v>0</v>
      </c>
      <c r="H67">
        <v>19787</v>
      </c>
      <c r="I67">
        <f t="shared" ref="I67:I85" si="1">IFERROR(ROUND(H67 / G67, 2), 0)</f>
        <v>0</v>
      </c>
      <c r="J67" t="str" cm="1">
        <f t="array" ref="J67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68" spans="1:10" x14ac:dyDescent="0.25">
      <c r="A68" t="s">
        <v>403</v>
      </c>
      <c r="B68" t="s">
        <v>75</v>
      </c>
      <c r="C68" t="s">
        <v>102</v>
      </c>
      <c r="D68">
        <v>741</v>
      </c>
      <c r="E68">
        <v>2843</v>
      </c>
      <c r="F68">
        <v>153568</v>
      </c>
      <c r="G68">
        <v>0</v>
      </c>
      <c r="H68">
        <v>48033</v>
      </c>
      <c r="I68">
        <f t="shared" si="1"/>
        <v>0</v>
      </c>
      <c r="J68" t="str" cm="1">
        <f t="array" ref="J68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69" spans="1:10" x14ac:dyDescent="0.25">
      <c r="A69" t="s">
        <v>403</v>
      </c>
      <c r="B69" t="s">
        <v>75</v>
      </c>
      <c r="C69" t="s">
        <v>99</v>
      </c>
      <c r="D69">
        <v>911</v>
      </c>
      <c r="E69">
        <v>3694</v>
      </c>
      <c r="F69">
        <v>166309</v>
      </c>
      <c r="G69">
        <v>0</v>
      </c>
      <c r="H69">
        <v>52041</v>
      </c>
      <c r="I69">
        <f t="shared" si="1"/>
        <v>0</v>
      </c>
      <c r="J69" t="str" cm="1">
        <f t="array" ref="J69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70" spans="1:10" x14ac:dyDescent="0.25">
      <c r="A70" t="s">
        <v>403</v>
      </c>
      <c r="B70" t="s">
        <v>4</v>
      </c>
      <c r="C70" t="s">
        <v>5</v>
      </c>
      <c r="D70">
        <v>18715</v>
      </c>
      <c r="E70">
        <v>40702</v>
      </c>
      <c r="F70">
        <v>56739008</v>
      </c>
      <c r="G70">
        <v>0</v>
      </c>
      <c r="H70">
        <v>11607572</v>
      </c>
      <c r="I70">
        <f t="shared" si="1"/>
        <v>0</v>
      </c>
      <c r="J70" t="str" cm="1">
        <f t="array" ref="J70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71" spans="1:10" x14ac:dyDescent="0.25">
      <c r="A71" t="s">
        <v>403</v>
      </c>
      <c r="B71" t="s">
        <v>75</v>
      </c>
      <c r="C71" t="s">
        <v>76</v>
      </c>
      <c r="D71">
        <v>2414</v>
      </c>
      <c r="E71">
        <v>6564</v>
      </c>
      <c r="F71">
        <v>291373</v>
      </c>
      <c r="G71">
        <v>0</v>
      </c>
      <c r="H71">
        <v>122605</v>
      </c>
      <c r="I71">
        <f t="shared" si="1"/>
        <v>0</v>
      </c>
      <c r="J71" t="str" cm="1">
        <f t="array" ref="J71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72" spans="1:10" x14ac:dyDescent="0.25">
      <c r="A72" t="s">
        <v>403</v>
      </c>
      <c r="B72" t="s">
        <v>68</v>
      </c>
      <c r="C72" t="s">
        <v>151</v>
      </c>
      <c r="D72">
        <v>398</v>
      </c>
      <c r="E72">
        <v>1116</v>
      </c>
      <c r="F72">
        <v>67609</v>
      </c>
      <c r="G72">
        <v>0</v>
      </c>
      <c r="H72">
        <v>17578</v>
      </c>
      <c r="I72">
        <f t="shared" si="1"/>
        <v>0</v>
      </c>
      <c r="J72" t="str" cm="1">
        <f t="array" ref="J72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73" spans="1:10" x14ac:dyDescent="0.25">
      <c r="A73" t="s">
        <v>403</v>
      </c>
      <c r="B73" t="s">
        <v>48</v>
      </c>
      <c r="C73" t="s">
        <v>51</v>
      </c>
      <c r="D73">
        <v>26502</v>
      </c>
      <c r="E73">
        <v>48549</v>
      </c>
      <c r="F73">
        <v>1276392</v>
      </c>
      <c r="G73">
        <v>0</v>
      </c>
      <c r="H73">
        <v>645379</v>
      </c>
      <c r="I73">
        <f t="shared" si="1"/>
        <v>0</v>
      </c>
      <c r="J73" t="str" cm="1">
        <f t="array" ref="J73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74" spans="1:10" x14ac:dyDescent="0.25">
      <c r="A74" t="s">
        <v>403</v>
      </c>
      <c r="B74" t="s">
        <v>75</v>
      </c>
      <c r="C74" t="s">
        <v>314</v>
      </c>
      <c r="D74">
        <v>9810</v>
      </c>
      <c r="E74">
        <v>20073</v>
      </c>
      <c r="F74">
        <v>130221</v>
      </c>
      <c r="G74">
        <v>0</v>
      </c>
      <c r="H74">
        <v>10738</v>
      </c>
      <c r="I74">
        <f t="shared" si="1"/>
        <v>0</v>
      </c>
      <c r="J74" t="str" cm="1">
        <f t="array" ref="J74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75" spans="1:10" x14ac:dyDescent="0.25">
      <c r="A75" t="s">
        <v>403</v>
      </c>
      <c r="B75" t="s">
        <v>68</v>
      </c>
      <c r="C75" t="s">
        <v>171</v>
      </c>
      <c r="D75">
        <v>1513</v>
      </c>
      <c r="E75">
        <v>3881</v>
      </c>
      <c r="F75">
        <v>145182</v>
      </c>
      <c r="G75">
        <v>0</v>
      </c>
      <c r="H75">
        <v>37747</v>
      </c>
      <c r="I75">
        <f t="shared" si="1"/>
        <v>0</v>
      </c>
      <c r="J75" t="str" cm="1">
        <f t="array" ref="J75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76" spans="1:10" x14ac:dyDescent="0.25">
      <c r="A76" t="s">
        <v>403</v>
      </c>
      <c r="B76" t="s">
        <v>68</v>
      </c>
      <c r="C76" t="s">
        <v>216</v>
      </c>
      <c r="D76">
        <v>836</v>
      </c>
      <c r="E76">
        <v>2099</v>
      </c>
      <c r="F76">
        <v>54881</v>
      </c>
      <c r="G76">
        <v>0</v>
      </c>
      <c r="H76">
        <v>14269</v>
      </c>
      <c r="I76">
        <f t="shared" si="1"/>
        <v>0</v>
      </c>
      <c r="J76" t="str" cm="1">
        <f t="array" ref="J76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77" spans="1:10" x14ac:dyDescent="0.25">
      <c r="A77" t="s">
        <v>403</v>
      </c>
      <c r="B77" t="s">
        <v>48</v>
      </c>
      <c r="C77" t="s">
        <v>222</v>
      </c>
      <c r="D77">
        <v>262</v>
      </c>
      <c r="E77">
        <v>1069</v>
      </c>
      <c r="F77">
        <v>12822</v>
      </c>
      <c r="G77">
        <v>0</v>
      </c>
      <c r="H77">
        <v>4007</v>
      </c>
      <c r="I77">
        <f t="shared" si="1"/>
        <v>0</v>
      </c>
      <c r="J77" t="str" cm="1">
        <f t="array" ref="J77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78" spans="1:10" x14ac:dyDescent="0.25">
      <c r="A78" t="s">
        <v>403</v>
      </c>
      <c r="B78" t="s">
        <v>48</v>
      </c>
      <c r="C78" t="s">
        <v>90</v>
      </c>
      <c r="D78">
        <v>2121</v>
      </c>
      <c r="E78">
        <v>2121</v>
      </c>
      <c r="F78">
        <v>46620</v>
      </c>
      <c r="G78">
        <v>0</v>
      </c>
      <c r="H78">
        <v>29184</v>
      </c>
      <c r="I78">
        <f t="shared" si="1"/>
        <v>0</v>
      </c>
      <c r="J78" t="str" cm="1">
        <f t="array" ref="J78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79" spans="1:10" x14ac:dyDescent="0.25">
      <c r="A79" t="s">
        <v>403</v>
      </c>
      <c r="B79" t="s">
        <v>48</v>
      </c>
      <c r="C79" t="s">
        <v>96</v>
      </c>
      <c r="D79">
        <v>249</v>
      </c>
      <c r="E79">
        <v>249</v>
      </c>
      <c r="F79">
        <v>39591</v>
      </c>
      <c r="G79">
        <v>0</v>
      </c>
      <c r="H79">
        <v>24784</v>
      </c>
      <c r="I79">
        <f t="shared" si="1"/>
        <v>0</v>
      </c>
      <c r="J79" t="str" cm="1">
        <f t="array" ref="J79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80" spans="1:10" x14ac:dyDescent="0.25">
      <c r="A80" t="s">
        <v>403</v>
      </c>
      <c r="B80" t="s">
        <v>48</v>
      </c>
      <c r="C80" t="s">
        <v>64</v>
      </c>
      <c r="D80">
        <v>1030</v>
      </c>
      <c r="E80">
        <v>2183</v>
      </c>
      <c r="F80">
        <v>88149</v>
      </c>
      <c r="G80">
        <v>0</v>
      </c>
      <c r="H80">
        <v>43253</v>
      </c>
      <c r="I80">
        <f t="shared" si="1"/>
        <v>0</v>
      </c>
      <c r="J80" t="str" cm="1">
        <f t="array" ref="J80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81" spans="1:10" x14ac:dyDescent="0.25">
      <c r="A81" t="s">
        <v>403</v>
      </c>
      <c r="B81" t="s">
        <v>68</v>
      </c>
      <c r="C81" t="s">
        <v>141</v>
      </c>
      <c r="D81">
        <v>376</v>
      </c>
      <c r="E81">
        <v>1000</v>
      </c>
      <c r="F81">
        <v>63900</v>
      </c>
      <c r="G81">
        <v>0</v>
      </c>
      <c r="H81">
        <v>16614</v>
      </c>
      <c r="I81">
        <f t="shared" si="1"/>
        <v>0</v>
      </c>
      <c r="J81" t="str" cm="1">
        <f t="array" ref="J81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82" spans="1:10" x14ac:dyDescent="0.25">
      <c r="A82" t="s">
        <v>403</v>
      </c>
      <c r="B82" t="s">
        <v>48</v>
      </c>
      <c r="C82" t="s">
        <v>211</v>
      </c>
      <c r="D82">
        <v>253</v>
      </c>
      <c r="E82">
        <v>1005</v>
      </c>
      <c r="F82">
        <v>15075</v>
      </c>
      <c r="G82">
        <v>0</v>
      </c>
      <c r="H82">
        <v>4711</v>
      </c>
      <c r="I82">
        <f t="shared" si="1"/>
        <v>0</v>
      </c>
      <c r="J82" t="str" cm="1">
        <f t="array" ref="J82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83" spans="1:10" x14ac:dyDescent="0.25">
      <c r="A83" t="s">
        <v>403</v>
      </c>
      <c r="B83" t="s">
        <v>68</v>
      </c>
      <c r="C83" t="s">
        <v>243</v>
      </c>
      <c r="D83">
        <v>247</v>
      </c>
      <c r="E83">
        <v>740</v>
      </c>
      <c r="F83">
        <v>8987</v>
      </c>
      <c r="G83">
        <v>0</v>
      </c>
      <c r="H83">
        <v>2336</v>
      </c>
      <c r="I83">
        <f t="shared" si="1"/>
        <v>0</v>
      </c>
      <c r="J83" t="str" cm="1">
        <f t="array" ref="J83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84" spans="1:10" x14ac:dyDescent="0.25">
      <c r="A84" t="s">
        <v>403</v>
      </c>
      <c r="B84" t="s">
        <v>48</v>
      </c>
      <c r="C84" t="s">
        <v>49</v>
      </c>
      <c r="D84">
        <v>734</v>
      </c>
      <c r="E84">
        <v>2239</v>
      </c>
      <c r="F84">
        <v>176952</v>
      </c>
      <c r="G84">
        <v>0</v>
      </c>
      <c r="H84">
        <v>76466</v>
      </c>
      <c r="I84">
        <f t="shared" si="1"/>
        <v>0</v>
      </c>
      <c r="J84" t="str" cm="1">
        <f t="array" ref="J84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  <row r="85" spans="1:10" x14ac:dyDescent="0.25">
      <c r="A85" t="s">
        <v>403</v>
      </c>
      <c r="B85" t="s">
        <v>68</v>
      </c>
      <c r="C85" t="s">
        <v>71</v>
      </c>
      <c r="D85">
        <v>421</v>
      </c>
      <c r="E85">
        <v>1081</v>
      </c>
      <c r="F85">
        <v>197958</v>
      </c>
      <c r="G85">
        <v>0</v>
      </c>
      <c r="H85">
        <v>51469</v>
      </c>
      <c r="I85">
        <f t="shared" si="1"/>
        <v>0</v>
      </c>
      <c r="J85" t="str" cm="1">
        <f t="array" ref="J85">_xlfn.IFS(
    Discount_Impact_on_company_level__2[[#This Row],[Total_discounts]] = 0, "Baseline (Max Profit)",
    AND(Discount_Impact_on_company_level__2[[#This Row],[Strategy_Efficiency]] &gt; 5, Discount_Impact_on_company_level__2[[#This Row],[Discount_strategy]] = "Low discount (Revenue leak)"), "Strategic Leak (Wasted Margin)",
    Discount_Impact_on_company_level__2[[#This Row],[Strategy_Efficiency]] &gt; 1, "Growth Driver",
    Discount_Impact_on_company_level__2[[#This Row],[Strategy_Efficiency]] &gt; 0, "Inefficient Promotion",
    Discount_Impact_on_company_level__2[[#This Row],[Strategy_Efficiency]] &lt;= 0, "Erosion Zone (Immediate Stop)"
)</f>
        <v>Baseline (Max Profit)</v>
      </c>
    </row>
  </sheetData>
  <conditionalFormatting sqref="I1:I1048576">
    <cfRule type="colorScale" priority="1">
      <colorScale>
        <cfvo type="num" val="&quot;&lt; 0 &quot;"/>
        <cfvo type="num" val="0"/>
        <cfvo type="num" val="&quot;&gt; 1 &quot;"/>
        <color rgb="FFFF0000"/>
        <color rgb="FFFFEB84"/>
        <color rgb="FF00B050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178B-442D-4DAC-858C-D36541D7578F}">
  <dimension ref="A1"/>
  <sheetViews>
    <sheetView topLeftCell="A13" workbookViewId="0">
      <selection activeCell="I16" sqref="I16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6682E5-DF8D-4927-B4A6-697554DE31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Discount Impact</vt:lpstr>
      <vt:lpstr>Discount Impact on company leve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2026-04-13T07:15:54Z</dcterms:created>
  <dcterms:modified xsi:type="dcterms:W3CDTF">2026-04-13T19:39:46Z</dcterms:modified>
</cp:coreProperties>
</file>